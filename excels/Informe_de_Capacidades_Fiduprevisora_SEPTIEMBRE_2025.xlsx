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15358_claro_com_co/Documents/Documentos/Fidu/CAPACIDADES CONTRATADAS/SEPTIEMBRE 2025/"/>
    </mc:Choice>
  </mc:AlternateContent>
  <xr:revisionPtr revIDLastSave="51" documentId="8_{3F306597-0A46-450E-9479-BBF0D59BA039}" xr6:coauthVersionLast="47" xr6:coauthVersionMax="47" xr10:uidLastSave="{599E5245-E296-49A7-BC1E-787C511B8835}"/>
  <bookViews>
    <workbookView xWindow="-120" yWindow="-120" windowWidth="20730" windowHeight="11160" xr2:uid="{DB9E1013-D579-43C5-81A2-5604D8711EEF}"/>
  </bookViews>
  <sheets>
    <sheet name="Tabla" sheetId="9" r:id="rId1"/>
    <sheet name="Triara MV" sheetId="8" r:id="rId2"/>
    <sheet name="Megacenter" sheetId="3" r:id="rId3"/>
    <sheet name="Contratado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2" i="3" l="1"/>
  <c r="S145" i="8"/>
  <c r="W144" i="8"/>
  <c r="W145" i="8" s="1"/>
  <c r="W146" i="8" s="1"/>
  <c r="S144" i="8"/>
  <c r="Q144" i="8"/>
  <c r="E24" i="9"/>
  <c r="D24" i="9"/>
  <c r="C24" i="9"/>
  <c r="F18" i="9"/>
  <c r="F19" i="9" s="1"/>
  <c r="F20" i="9" s="1"/>
  <c r="F21" i="9" s="1"/>
  <c r="F25" i="9" s="1"/>
  <c r="E18" i="9"/>
  <c r="E19" i="9" s="1"/>
  <c r="E20" i="9" s="1"/>
  <c r="D18" i="9"/>
  <c r="D19" i="9" s="1"/>
  <c r="D20" i="9" s="1"/>
  <c r="C18" i="9"/>
  <c r="C19" i="9" s="1"/>
  <c r="F5" i="9"/>
  <c r="F6" i="9" s="1"/>
  <c r="F7" i="9" s="1"/>
  <c r="E5" i="9"/>
  <c r="E6" i="9" s="1"/>
  <c r="E7" i="9" s="1"/>
  <c r="E8" i="9" s="1"/>
  <c r="D5" i="9"/>
  <c r="D6" i="9" s="1"/>
  <c r="D7" i="9" s="1"/>
  <c r="D8" i="9" s="1"/>
  <c r="C5" i="9"/>
  <c r="C6" i="9" s="1"/>
  <c r="D21" i="9" l="1"/>
  <c r="D25" i="9" s="1"/>
  <c r="E21" i="9"/>
  <c r="E25" i="9" s="1"/>
  <c r="C20" i="9"/>
  <c r="C21" i="9" s="1"/>
  <c r="C25" i="9" s="1"/>
  <c r="D12" i="9"/>
  <c r="E12" i="9"/>
  <c r="F8" i="9"/>
  <c r="F12" i="9" s="1"/>
  <c r="C7" i="9"/>
  <c r="C8" i="9" s="1"/>
  <c r="C12" i="9" s="1"/>
  <c r="D13" i="9"/>
  <c r="C26" i="9"/>
  <c r="D26" i="9"/>
  <c r="E26" i="9"/>
  <c r="F26" i="9"/>
  <c r="E13" i="9"/>
  <c r="F13" i="9"/>
  <c r="C13" i="9"/>
  <c r="S22" i="3"/>
  <c r="Q22" i="3"/>
  <c r="W22" i="3"/>
  <c r="W45" i="3" l="1"/>
  <c r="W46" i="3" s="1"/>
  <c r="W4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tc={1E22A04A-F4C1-4FA9-9BAD-4CF8FD4BADFF}</author>
    <author>tc={CC127C75-9E1E-4E9C-98A3-D4B4650D57A1}</author>
  </authors>
  <commentList>
    <comment ref="A47" authorId="0" shapeId="0" xr:uid="{1E22A04A-F4C1-4FA9-9BAD-4CF8FD4BADF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eliminar por cambio de SO OT22343030 </t>
      </text>
    </comment>
    <comment ref="A49" authorId="1" shapeId="0" xr:uid="{CC127C75-9E1E-4E9C-98A3-D4B4650D57A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eliminar por cambio de SO OT22343114 </t>
      </text>
    </comment>
  </commentList>
</comments>
</file>

<file path=xl/sharedStrings.xml><?xml version="1.0" encoding="utf-8"?>
<sst xmlns="http://schemas.openxmlformats.org/spreadsheetml/2006/main" count="7877" uniqueCount="1859">
  <si>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</si>
  <si>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</si>
  <si>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</si>
  <si>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</si>
  <si>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</si>
  <si>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</si>
  <si>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</si>
  <si>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</si>
  <si>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</si>
  <si>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</si>
  <si>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</si>
  <si>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</si>
  <si>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</si>
  <si>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</si>
  <si>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</si>
  <si>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</si>
  <si>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</si>
  <si>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</si>
  <si>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</si>
  <si>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</si>
  <si>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</si>
  <si>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</si>
  <si>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</si>
  <si>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</si>
  <si>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</si>
  <si>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</si>
  <si>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</si>
  <si>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</si>
  <si>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</si>
  <si>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</si>
  <si>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</si>
  <si>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</si>
  <si>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</si>
  <si>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</si>
  <si>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</si>
  <si>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</si>
  <si>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</si>
  <si>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</si>
  <si>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</si>
  <si>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</si>
  <si>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</si>
  <si>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</si>
  <si>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</si>
  <si>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</si>
  <si>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</si>
  <si>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</si>
  <si>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</si>
  <si>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</si>
  <si>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</si>
  <si>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</si>
  <si>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</si>
  <si>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</si>
  <si>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</si>
  <si>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</si>
  <si>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</si>
  <si>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</si>
  <si>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</si>
  <si>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</si>
  <si>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</si>
  <si>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</si>
  <si>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</si>
  <si>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</si>
  <si>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</si>
  <si>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</si>
  <si>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</si>
  <si>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</si>
  <si>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</si>
  <si>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</si>
  <si>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</si>
  <si>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</si>
  <si>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</si>
  <si>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</si>
  <si>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</si>
  <si>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</si>
  <si>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</si>
  <si>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</si>
  <si>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</si>
  <si>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</si>
  <si>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</si>
  <si>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</si>
  <si>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openshift-openshift-clientes-zksln</t>
  </si>
  <si>
    <t>VirtualMachineOperation</t>
  </si>
  <si>
    <t>openshift-msplatform-x9ggd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</si>
  <si>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</si>
  <si>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</si>
  <si>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</si>
  <si>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</si>
  <si>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</si>
  <si>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</si>
  <si>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</si>
  <si>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</si>
  <si>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</si>
  <si>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</si>
  <si>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</si>
  <si>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</si>
  <si>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</si>
  <si>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</si>
  <si>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</si>
  <si>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</si>
  <si>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</si>
  <si>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green</t>
  </si>
  <si>
    <t>saturno.fiduprevisora.com.co</t>
  </si>
  <si>
    <t>connected</t>
  </si>
  <si>
    <t>running</t>
  </si>
  <si>
    <t>gray</t>
  </si>
  <si>
    <t>0%</t>
  </si>
  <si>
    <t>normal</t>
  </si>
  <si>
    <t>100.66.24.57</t>
  </si>
  <si>
    <t>DPG_CLT314_MGT_PVLAN_1312-1314_OCTADECACORE09</t>
  </si>
  <si>
    <t>DPG_CLT314_PRO_V1035_OCTADECACORE09</t>
  </si>
  <si>
    <t>DPG_CLT314_SRV_PVLAN_2097-2098_OCTADECACORE09_ADD</t>
  </si>
  <si>
    <t>group-v1457</t>
  </si>
  <si>
    <t>/VDC001_TRI_CENTRALIZADO_CLI/FVM_IMPLEMENTACIONES</t>
  </si>
  <si>
    <t>notConfigured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</si>
  <si>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</si>
  <si>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</si>
  <si>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</si>
  <si>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</si>
  <si>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</si>
  <si>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</si>
  <si>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</si>
  <si>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VDC001_TRI_CENTRALIZADO_CLI</t>
  </si>
  <si>
    <t>CLT314_TRI_COM_OCTADECACORE09_ACI_ADD</t>
  </si>
  <si>
    <t>c-tfm4678-fak05-29-sr645.datacenterdhs.local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</si>
  <si>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</si>
  <si>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</si>
  <si>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</si>
  <si>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</si>
  <si>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</si>
  <si>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</si>
  <si>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172.22.1.51</t>
  </si>
  <si>
    <t>ea59f894-e326-4ebb-bc8c-330d7436f1a3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</si>
  <si>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</si>
  <si>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</si>
  <si>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</si>
  <si>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</si>
  <si>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</si>
  <si>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</si>
  <si>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</si>
  <si>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</si>
  <si>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</si>
  <si>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</si>
  <si>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</si>
  <si>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</si>
  <si>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</si>
  <si>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</si>
  <si>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</si>
  <si>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</si>
  <si>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c-tfm4567-gbd15-22-sr645.datacenterdhs.local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</si>
  <si>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</si>
  <si>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</si>
  <si>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</si>
  <si>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</si>
  <si>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</si>
  <si>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</si>
  <si>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</si>
  <si>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</si>
  <si>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</si>
  <si>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</si>
  <si>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c-tfm0005329-faz33-7-sr645.datacenterdhs.local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</si>
  <si>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</si>
  <si>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</si>
  <si>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</si>
  <si>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</si>
  <si>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</si>
  <si>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</si>
  <si>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</si>
  <si>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</si>
  <si>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</si>
  <si>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</si>
  <si>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</si>
  <si>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</si>
  <si>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</si>
  <si>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</si>
  <si>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</si>
  <si>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</si>
  <si>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</si>
  <si>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</si>
  <si>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</si>
  <si>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</si>
  <si>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c-tfm4569-gaf03-08-sr645.datacenterdhs.local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</si>
  <si>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</si>
  <si>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</si>
  <si>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</si>
  <si>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</si>
  <si>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</si>
  <si>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</si>
  <si>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</si>
  <si>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</si>
  <si>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</si>
  <si>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</si>
  <si>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</si>
  <si>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</si>
  <si>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</si>
  <si>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</si>
  <si>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</si>
  <si>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</si>
  <si>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</si>
  <si>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</si>
  <si>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vm-1456211</t>
  </si>
  <si>
    <t>c-tfm0005328-faz33-6-sr645.datacenterdhs.local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</si>
  <si>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</si>
  <si>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</si>
  <si>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</si>
  <si>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</si>
  <si>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</si>
  <si>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</si>
  <si>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</si>
  <si>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</si>
  <si>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</si>
  <si>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</si>
  <si>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</si>
  <si>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</si>
  <si>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</si>
  <si>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</si>
  <si>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</si>
  <si>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</si>
  <si>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</si>
  <si>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</si>
  <si>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</si>
  <si>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</si>
  <si>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</si>
  <si>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</si>
  <si>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c-tfm5205-gaj03-10-sr645.datacenterdhs.local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</si>
  <si>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</si>
  <si>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</si>
  <si>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</si>
  <si>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</si>
  <si>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</si>
  <si>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</si>
  <si>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</si>
  <si>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</si>
  <si>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</si>
  <si>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</si>
  <si>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</si>
  <si>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</si>
  <si>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</si>
  <si>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</si>
  <si>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</si>
  <si>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CLT315_TRI_COM_OCTADECACORE10_ACI</t>
  </si>
  <si>
    <t>c-tfm0005487-ck22-02-sr645.datacenterdhs.local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</si>
  <si>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</si>
  <si>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</si>
  <si>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</si>
  <si>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</si>
  <si>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</si>
  <si>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</si>
  <si>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</si>
  <si>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</si>
  <si>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</si>
  <si>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</si>
  <si>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</si>
  <si>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</si>
  <si>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</si>
  <si>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</si>
  <si>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</si>
  <si>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</si>
  <si>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</si>
  <si>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</si>
  <si>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c-tfm0005485-cd14-04-sr645.datacenterdhs.local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</si>
  <si>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</si>
  <si>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</si>
  <si>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</si>
  <si>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</si>
  <si>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</si>
  <si>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</si>
  <si>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</si>
  <si>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</si>
  <si>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</si>
  <si>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</si>
  <si>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</si>
  <si>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</si>
  <si>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</si>
  <si>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</si>
  <si>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</si>
  <si>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</si>
  <si>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c-tfm0005486-cd14-05-sr645.datacenterdhs.local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</si>
  <si>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</si>
  <si>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</si>
  <si>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</si>
  <si>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</si>
  <si>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</si>
  <si>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</si>
  <si>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</si>
  <si>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</si>
  <si>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</si>
  <si>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</si>
  <si>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</si>
  <si>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</si>
  <si>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</si>
  <si>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</si>
  <si>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</si>
  <si>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</si>
  <si>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</si>
  <si>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</si>
  <si>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</si>
  <si>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</si>
  <si>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</si>
  <si>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</si>
  <si>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</si>
  <si>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vm-1529012</t>
  </si>
  <si>
    <t>4207a0f4-1de1-1bf8-099c-2db92492951d</t>
  </si>
  <si>
    <t>50077761-ac55-d009-58eb-358dabfb24fd</t>
  </si>
  <si>
    <t>FLP0000574_FIDUPREVISORA</t>
  </si>
  <si>
    <t>poweredOff</t>
  </si>
  <si>
    <t>notRunning</t>
  </si>
  <si>
    <t>FLP0000575_FIDUPREVISORA</t>
  </si>
  <si>
    <t>DGP_CLT315_PRO_V874_FIDUPREVISORA</t>
  </si>
  <si>
    <t>DGP_CLT315_PRO_V869_FIDUPREVISORA</t>
  </si>
  <si>
    <t>c-tfm0005489-ck22-04-sr645.datacenterdhs.local</t>
  </si>
  <si>
    <t>FLP0000576_FIDUPREVISORA</t>
  </si>
  <si>
    <t>worker1</t>
  </si>
  <si>
    <t>c-tfm0005363-faz33-4-sr645.datacenterdhs.local</t>
  </si>
  <si>
    <t>FLP0000577_FIDUPREVISORA</t>
  </si>
  <si>
    <t>FLP0000578_FIDUPREVISORA</t>
  </si>
  <si>
    <t>worker3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</si>
  <si>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</si>
  <si>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</si>
  <si>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</si>
  <si>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</si>
  <si>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Ubuntu Linux (64-bit)</t>
  </si>
  <si>
    <t>vm-1539006</t>
  </si>
  <si>
    <t>42077a01-33a2-3d1f-5c0e-c1a5015c44d4</t>
  </si>
  <si>
    <t>50071d5c-cc21-ea81-71cb-d4d340a69fb3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</si>
  <si>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</si>
  <si>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</si>
  <si>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</si>
  <si>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</si>
  <si>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</si>
  <si>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</si>
  <si>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</si>
  <si>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vm-1600670</t>
  </si>
  <si>
    <t>4207a826-fe5f-ddd4-4c54-7d1810749a2c</t>
  </si>
  <si>
    <t>50070aea-0235-c968-0473-c2e3c0e26b73</t>
  </si>
  <si>
    <t>FLP0000597_FIDUPREVISORA</t>
  </si>
  <si>
    <t>[H_TFM4915_R6_MT_ID010_OCTADECACORE_3.4TB] FLP0000597_FIDUPREVISORA/FLP0000597_FIDUPREVISORA.vmx</t>
  </si>
  <si>
    <t>[H_TFM4915_R6_MT_ID010_OCTADECACORE_3.4TB] FLP0000597_FIDUPREVISORA/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</si>
  <si>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</si>
  <si>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</si>
  <si>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</si>
  <si>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</si>
  <si>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</si>
  <si>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</si>
  <si>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</si>
  <si>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</si>
  <si>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</si>
  <si>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</si>
  <si>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</si>
  <si>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</si>
  <si>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</si>
  <si>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</si>
  <si>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</si>
  <si>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</si>
  <si>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</si>
  <si>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</si>
  <si>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</si>
  <si>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</si>
  <si>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</si>
  <si>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</si>
  <si>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</si>
  <si>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</si>
  <si>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</si>
  <si>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</si>
  <si>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</si>
  <si>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</si>
  <si>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</si>
  <si>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</si>
  <si>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</si>
  <si>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</si>
  <si>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</si>
  <si>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</si>
  <si>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</si>
  <si>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</si>
  <si>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</si>
  <si>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</si>
  <si>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</si>
  <si>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</si>
  <si>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</si>
  <si>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c-tfm0005488-ck22-03-sr645.datacenterdhs.local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</si>
  <si>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</si>
  <si>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</si>
  <si>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</si>
  <si>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</si>
  <si>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</si>
  <si>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</si>
  <si>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</si>
  <si>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</si>
  <si>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</si>
  <si>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</si>
  <si>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</si>
  <si>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</si>
  <si>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</si>
  <si>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</si>
  <si>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</si>
  <si>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</si>
  <si>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</si>
  <si>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</si>
  <si>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</si>
  <si>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</si>
  <si>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</si>
  <si>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</si>
  <si>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</si>
  <si>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</si>
  <si>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</si>
  <si>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</si>
  <si>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</si>
  <si>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</si>
  <si>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</si>
  <si>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</si>
  <si>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</si>
  <si>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</si>
  <si>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</si>
  <si>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</si>
  <si>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</si>
  <si>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</si>
  <si>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</si>
  <si>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</si>
  <si>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</si>
  <si>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</si>
  <si>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</si>
  <si>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</si>
  <si>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</si>
  <si>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</si>
  <si>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</si>
  <si>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</si>
  <si>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</si>
  <si>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</si>
  <si>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</si>
  <si>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</si>
  <si>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</si>
  <si>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</si>
  <si>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</si>
  <si>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</si>
  <si>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</si>
  <si>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</si>
  <si>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</si>
  <si>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</si>
  <si>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</si>
  <si>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</si>
  <si>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</si>
  <si>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</si>
  <si>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</si>
  <si>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</si>
  <si>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</si>
  <si>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</si>
  <si>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</si>
  <si>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</si>
  <si>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</si>
  <si>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</si>
  <si>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Linux Red Hat 8.9 Normalización mediante ASGARD. Actualización 27/06/2024. ES.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</si>
  <si>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</si>
  <si>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</si>
  <si>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</si>
  <si>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</si>
  <si>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</si>
  <si>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</si>
  <si>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</si>
  <si>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</si>
  <si>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</si>
  <si>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</si>
  <si>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</si>
  <si>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</si>
  <si>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</si>
  <si>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</si>
  <si>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</si>
  <si>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Microsoft Windows Server 2016 (64-bit)</t>
  </si>
  <si>
    <t>vm-1925331</t>
  </si>
  <si>
    <t>4207de24-7545-2b2a-4565-7dda96e9e62f</t>
  </si>
  <si>
    <t>5007137c-0797-f57f-606b-90c55dd27b14</t>
  </si>
  <si>
    <t>VISHNU.fiduprevisora.com.co</t>
  </si>
  <si>
    <t>FLP0000620_FIDUPREVISORA</t>
  </si>
  <si>
    <t>vm-2145420</t>
  </si>
  <si>
    <t>4207d353-995f-79bf-02c5-50322e712f3e</t>
  </si>
  <si>
    <t>50077665-d94b-2409-c7f7-0d0d46dad040</t>
  </si>
  <si>
    <t>DPG_CLT315_SRV_PVLAN_2093-2094_OCTADECACORE10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</si>
  <si>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</si>
  <si>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</si>
  <si>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</si>
  <si>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</si>
  <si>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</si>
  <si>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</si>
  <si>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</si>
  <si>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</si>
  <si>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</si>
  <si>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</si>
  <si>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vm-84478</t>
  </si>
  <si>
    <t>CLT307_TRI_COM_OCTADECACORE03_FP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</si>
  <si>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</si>
  <si>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</si>
  <si>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</si>
  <si>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</si>
  <si>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</si>
  <si>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</si>
  <si>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</si>
  <si>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</si>
  <si>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</si>
  <si>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</si>
  <si>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</si>
  <si>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</si>
  <si>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</si>
  <si>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</si>
  <si>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</si>
  <si>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</si>
  <si>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</si>
  <si>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</si>
  <si>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</si>
  <si>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</si>
  <si>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</si>
  <si>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</si>
  <si>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</si>
  <si>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</si>
  <si>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Other 2.6.x Linux (64-bit)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</si>
  <si>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</si>
  <si>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</si>
  <si>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</si>
  <si>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</si>
  <si>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</si>
  <si>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</si>
  <si>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</si>
  <si>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</si>
  <si>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[D_TFM2647_R6_N2_ID002_OCTADECACORE02_4TB] FLP0041_FIDUPREVISORA_Rep/FLP0041_FIDUPREVISORA_Rep.vmx</t>
  </si>
  <si>
    <t>[D_TFM2647_R6_N2_ID002_OCTADECACORE02_4TB] FLP0041_FIDUPREVISORA_Rep/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</si>
  <si>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</si>
  <si>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</si>
  <si>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</si>
  <si>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</si>
  <si>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</si>
  <si>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</si>
  <si>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</si>
  <si>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</si>
  <si>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c-tfm2439-eq18-0211-ch121v3.datacenterdhs.local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</si>
  <si>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</si>
  <si>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</si>
  <si>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</si>
  <si>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</si>
  <si>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</si>
  <si>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</si>
  <si>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</si>
  <si>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</si>
  <si>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</si>
  <si>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</si>
  <si>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vm-83116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</si>
  <si>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</si>
  <si>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</si>
  <si>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</si>
  <si>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</si>
  <si>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</si>
  <si>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</si>
  <si>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</si>
  <si>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vm-82781</t>
  </si>
  <si>
    <t>c-tfm2453-eq18-0202-ch121v3.datacenterdhs.local</t>
  </si>
  <si>
    <t>420ba28c-c3d0-f636-3325-a8545faee1fb</t>
  </si>
  <si>
    <t>500bf28e-3f70-175e-e353-0559a6c36341</t>
  </si>
  <si>
    <t>FLP0063_FIDUPREVISORA</t>
  </si>
  <si>
    <t>CERESPRU.fiduprevisora.com.co</t>
  </si>
  <si>
    <t>[D_TFM2647_R6_N2_ID018_OCTADECACORE02_4TB] FLP0063_FIDUPREVISORA/FLP0063_FIDUPREVISORA.vmx</t>
  </si>
  <si>
    <t>[D_TFM2647_R6_N2_ID018_OCTADECACORE02_4TB] FLP0063_FIDUPREVISORA/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</si>
  <si>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</si>
  <si>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</si>
  <si>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</si>
  <si>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</si>
  <si>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</si>
  <si>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</si>
  <si>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</si>
  <si>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</si>
  <si>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</si>
  <si>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c-tfm2544-eq18-0207-ch121v3.datacenterdhs.local</t>
  </si>
  <si>
    <t>CentOS 7 (64-bit)</t>
  </si>
  <si>
    <t>CentOS 6 (64-bit)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</si>
  <si>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</si>
  <si>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</si>
  <si>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</si>
  <si>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</si>
  <si>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</si>
  <si>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</si>
  <si>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</si>
  <si>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</si>
  <si>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</si>
  <si>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</si>
  <si>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</si>
  <si>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</si>
  <si>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</si>
  <si>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</si>
  <si>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</si>
  <si>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</si>
  <si>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</si>
  <si>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</si>
  <si>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</si>
  <si>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</si>
  <si>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</si>
  <si>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</si>
  <si>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</si>
  <si>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</si>
  <si>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</si>
  <si>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</si>
  <si>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</si>
  <si>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</si>
  <si>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</si>
  <si>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</si>
  <si>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</si>
  <si>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</si>
  <si>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template 05062017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</si>
  <si>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</si>
  <si>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</si>
  <si>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</si>
  <si>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</si>
  <si>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</si>
  <si>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</si>
  <si>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INDICADORES BI360 - SERVIDOR DE PRODUCCION</t>
  </si>
  <si>
    <t>Red Hat Enterprise Linux 6 (64-bit)</t>
  </si>
  <si>
    <t>vm-82788</t>
  </si>
  <si>
    <t>420bac5a-a7e8-12cb-1d60-1e185bc55cc8</t>
  </si>
  <si>
    <t>500bcf47-0787-59e3-194f-9eb55d2fe79b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</si>
  <si>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</si>
  <si>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</si>
  <si>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</si>
  <si>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</si>
  <si>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</si>
  <si>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vm-569568</t>
  </si>
  <si>
    <t>420741b4-e85c-5d01-4a67-814291e3d0c9</t>
  </si>
  <si>
    <t>5007df32-9746-0401-f1c0-f756ce17c373</t>
  </si>
  <si>
    <t>FLP0090_FIDUPREVISORA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</si>
  <si>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</si>
  <si>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</si>
  <si>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</si>
  <si>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</si>
  <si>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</si>
  <si>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</si>
  <si>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</si>
  <si>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</si>
  <si>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</si>
  <si>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</si>
  <si>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</si>
  <si>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</si>
  <si>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</si>
  <si>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</si>
  <si>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</si>
  <si>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</si>
  <si>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</si>
  <si>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</si>
  <si>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</si>
  <si>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</si>
  <si>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</si>
  <si>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</si>
  <si>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</si>
  <si>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vm-11599</t>
  </si>
  <si>
    <t>420b31e9-5924-7d95-a25c-0a6107600835</t>
  </si>
  <si>
    <t>500bc7d8-0caf-954f-083d-2d8699f34efa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</si>
  <si>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</si>
  <si>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</si>
  <si>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</si>
  <si>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</si>
  <si>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</si>
  <si>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</si>
  <si>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</si>
  <si>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</si>
  <si>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</si>
  <si>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</si>
  <si>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</si>
  <si>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</si>
  <si>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</si>
  <si>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</si>
  <si>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</si>
  <si>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</si>
  <si>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</si>
  <si>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</si>
  <si>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</si>
  <si>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</si>
  <si>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</si>
  <si>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</si>
  <si>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</si>
  <si>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</si>
  <si>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vm-2472556</t>
  </si>
  <si>
    <t>c-tfm2794-cj06-0209-ch121v5.datacenterdhs.local</t>
  </si>
  <si>
    <t>CentOS 4/5 (64-bit)</t>
  </si>
  <si>
    <t>420713ea-3252-b47a-08cd-e32768953e0d</t>
  </si>
  <si>
    <t>50075ad4-6389-2063-fb54-b4badaab2322</t>
  </si>
  <si>
    <t>FLP0110_FIDUPREVISORA</t>
  </si>
  <si>
    <t>ezio.fiduprevisora.com.co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</si>
  <si>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</si>
  <si>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</si>
  <si>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</si>
  <si>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</si>
  <si>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</si>
  <si>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</si>
  <si>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</si>
  <si>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</si>
  <si>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</si>
  <si>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</si>
  <si>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</si>
  <si>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[D_TFM2647_R6_N2_ID000_OCTADECACORE02_2.59TB] FLP0112_FIDUPREVISORA_IM1250590/FLP0112_FIDUPREVISORA_IM1250590.vmx</t>
  </si>
  <si>
    <t>[D_TFM2647_R6_N2_ID000_OCTADECACORE02_2.59TB] FLP0112_FIDUPREVISORA_IM1250590/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</si>
  <si>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</si>
  <si>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</si>
  <si>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</si>
  <si>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</si>
  <si>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</si>
  <si>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</si>
  <si>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</si>
  <si>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</si>
  <si>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</si>
  <si>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</si>
  <si>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</si>
  <si>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</si>
  <si>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</si>
  <si>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</si>
  <si>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</si>
  <si>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</si>
  <si>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</si>
  <si>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</si>
  <si>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</si>
  <si>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</si>
  <si>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</si>
  <si>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</si>
  <si>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</si>
  <si>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</si>
  <si>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</si>
  <si>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</si>
  <si>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</si>
  <si>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</si>
  <si>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</si>
  <si>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</si>
  <si>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</si>
  <si>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</si>
  <si>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</si>
  <si>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</si>
  <si>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</si>
  <si>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</si>
  <si>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</si>
  <si>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</si>
  <si>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</si>
  <si>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</si>
  <si>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</si>
  <si>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</si>
  <si>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</si>
  <si>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</si>
  <si>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</si>
  <si>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</si>
  <si>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</si>
  <si>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</si>
  <si>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</si>
  <si>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vm-82796</t>
  </si>
  <si>
    <t>420b5e1e-f71e-eacd-9fb3-30b8f1cfb868</t>
  </si>
  <si>
    <t>500b1b95-e83c-304c-dacd-65814afb9445</t>
  </si>
  <si>
    <t>FLP0127_FIDUPREVISORA_RF1657616</t>
  </si>
  <si>
    <t>172.16.0.28</t>
  </si>
  <si>
    <t>172.27.17.101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</si>
  <si>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</si>
  <si>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</si>
  <si>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</si>
  <si>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</si>
  <si>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</si>
  <si>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</si>
  <si>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</si>
  <si>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</si>
  <si>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</si>
  <si>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</si>
  <si>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</si>
  <si>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</si>
  <si>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</si>
  <si>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</si>
  <si>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</si>
  <si>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</si>
  <si>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vm-11590</t>
  </si>
  <si>
    <t>420bdba1-f378-cf5c-6215-c96d5ab021ce</t>
  </si>
  <si>
    <t>500b29c3-2c1e-143d-ff89-098a5c443395</t>
  </si>
  <si>
    <t>FLP0140_FIDUPREVISORA_Rep</t>
  </si>
  <si>
    <t>JUPITER.fiduprevisora.com.co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</si>
  <si>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</si>
  <si>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</si>
  <si>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</si>
  <si>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</si>
  <si>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</si>
  <si>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</si>
  <si>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</si>
  <si>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</si>
  <si>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</si>
  <si>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</si>
  <si>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</si>
  <si>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</si>
  <si>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</si>
  <si>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</si>
  <si>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</si>
  <si>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</si>
  <si>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</si>
  <si>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</si>
  <si>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</si>
  <si>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</si>
  <si>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</si>
  <si>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</si>
  <si>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</si>
  <si>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</si>
  <si>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</si>
  <si>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</si>
  <si>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</si>
  <si>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</si>
  <si>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</si>
  <si>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</si>
  <si>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</si>
  <si>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</si>
  <si>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</si>
  <si>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</si>
  <si>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vm-83241</t>
  </si>
  <si>
    <t>CLT310_TRI_COM_OCTADECACORE06_ACI</t>
  </si>
  <si>
    <t>c-tfm3141-fbe38-0207-sn550g2.datacenterdhs.local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</si>
  <si>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</si>
  <si>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</si>
  <si>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</si>
  <si>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</si>
  <si>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</si>
  <si>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</si>
  <si>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</si>
  <si>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c-tfm3144-fbe38-0210-sn550g2.datacenterdhs.local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</si>
  <si>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</si>
  <si>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</si>
  <si>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</si>
  <si>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</si>
  <si>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</si>
  <si>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</si>
  <si>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</si>
  <si>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</si>
  <si>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</si>
  <si>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</si>
  <si>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c-tfm3146-fbe38-0212-sn550g2.datacenterdhs.local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</si>
  <si>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</si>
  <si>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</si>
  <si>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</si>
  <si>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</si>
  <si>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</si>
  <si>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</si>
  <si>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</si>
  <si>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</si>
  <si>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vm-53446</t>
  </si>
  <si>
    <t>423e0602-cd02-cd01-8c1b-23a340cf73b1</t>
  </si>
  <si>
    <t>503ee94b-f7dc-09c0-930b-f8da51c22c90</t>
  </si>
  <si>
    <t>FLP0208_FIDUPREVISORA_Rep</t>
  </si>
  <si>
    <t>NEOS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</si>
  <si>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</si>
  <si>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</si>
  <si>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</si>
  <si>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</si>
  <si>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</si>
  <si>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</si>
  <si>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</si>
  <si>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</si>
  <si>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</si>
  <si>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</si>
  <si>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c-tfm3083-cj06-0212-ch121v5.datacenterdhs.local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</si>
  <si>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</si>
  <si>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</si>
  <si>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</si>
  <si>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</si>
  <si>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</si>
  <si>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</si>
  <si>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</si>
  <si>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</si>
  <si>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</si>
  <si>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</si>
  <si>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</si>
  <si>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</si>
  <si>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</si>
  <si>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</si>
  <si>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</si>
  <si>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</si>
  <si>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</si>
  <si>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</si>
  <si>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CLT309_TRI_COM_OCTADECACORE05_ACI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</si>
  <si>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</si>
  <si>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</si>
  <si>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</si>
  <si>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</si>
  <si>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</si>
  <si>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</si>
  <si>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</si>
  <si>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/VDC001_TRI_CENTRALIZADO_CLI/FCL003_COMPARTIDOS/CLT315_TRI_COM_OCTADECACORE10_ACI/Resources</t>
  </si>
  <si>
    <t>Microsoft Windows Server 2012 R2 Estandar (Ingles) para GesTIona</t>
  </si>
  <si>
    <t>vm-2503006</t>
  </si>
  <si>
    <t>4210f31f-40bf-e1fd-6710-9e5de1b2df97</t>
  </si>
  <si>
    <t>50109dc5-f2cd-df17-5067-e6d7320b5616</t>
  </si>
  <si>
    <t>FLP0276_FIDUPREVISORA</t>
  </si>
  <si>
    <t>comuniuni</t>
  </si>
  <si>
    <t>10.22.1.40</t>
  </si>
  <si>
    <t>DPG_CLT309_PRO_V1005_FIDUPREVISORA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</si>
  <si>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</si>
  <si>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</si>
  <si>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</si>
  <si>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</si>
  <si>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</si>
  <si>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</si>
  <si>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</si>
  <si>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</si>
  <si>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</si>
  <si>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</si>
  <si>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</si>
  <si>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</si>
  <si>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</si>
  <si>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CentOS 4/5/6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</si>
  <si>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</si>
  <si>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</si>
  <si>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</si>
  <si>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</si>
  <si>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</si>
  <si>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</si>
  <si>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</si>
  <si>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</si>
  <si>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</si>
  <si>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vm-83242</t>
  </si>
  <si>
    <t>423eaa5e-c071-385a-049b-58a8e859cd90</t>
  </si>
  <si>
    <t>503e8229-974c-0f82-5ed9-0193f31cd8a7</t>
  </si>
  <si>
    <t>FLP0375_FIDUPREVISORA</t>
  </si>
  <si>
    <t>eros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</si>
  <si>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</si>
  <si>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</si>
  <si>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</si>
  <si>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</si>
  <si>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</si>
  <si>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</si>
  <si>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c-tfm3138-fbe38-0204-sn550g2.datacenterdhs.local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</si>
  <si>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</si>
  <si>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</si>
  <si>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</si>
  <si>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</si>
  <si>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</si>
  <si>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</si>
  <si>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</si>
  <si>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</si>
  <si>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vm-53395</t>
  </si>
  <si>
    <t>423e1d7f-23a6-c492-01a7-6611f6d7db46</t>
  </si>
  <si>
    <t>503e6a6e-7766-8da2-fbda-621e066d4ce1</t>
  </si>
  <si>
    <t>FLP0378_FIDUPREVISORA</t>
  </si>
  <si>
    <t>arion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</si>
  <si>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</si>
  <si>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</si>
  <si>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</si>
  <si>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</si>
  <si>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</si>
  <si>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</si>
  <si>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</si>
  <si>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</si>
  <si>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</si>
  <si>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</si>
  <si>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</si>
  <si>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</si>
  <si>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</si>
  <si>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</si>
  <si>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</si>
  <si>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</si>
  <si>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</si>
  <si>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</si>
  <si>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</si>
  <si>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</si>
  <si>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</si>
  <si>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</si>
  <si>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</si>
  <si>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</si>
  <si>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</si>
  <si>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</si>
  <si>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vm-83183</t>
  </si>
  <si>
    <t>423e1ed4-1727-79b3-3b04-44b77f3b85a7</t>
  </si>
  <si>
    <t>503e045b-0b24-0a85-e2b3-d62d84bcc269</t>
  </si>
  <si>
    <t>FLP0418_FIDUPREVISORA</t>
  </si>
  <si>
    <t>SOC</t>
  </si>
  <si>
    <t>10.10.5.249</t>
  </si>
  <si>
    <t>DPG_CLT307_MGT_PVLAN_2347-2374_OCTADECACORE03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</si>
  <si>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</si>
  <si>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</si>
  <si>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</si>
  <si>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</si>
  <si>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</si>
  <si>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</si>
  <si>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</si>
  <si>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</si>
  <si>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</si>
  <si>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</si>
  <si>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</si>
  <si>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</si>
  <si>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</si>
  <si>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</si>
  <si>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</si>
  <si>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</si>
  <si>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</si>
  <si>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</si>
  <si>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</si>
  <si>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</si>
  <si>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Operacion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</si>
  <si>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</si>
  <si>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</si>
  <si>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</si>
  <si>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</si>
  <si>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</si>
  <si>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</si>
  <si>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</si>
  <si>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</si>
  <si>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</si>
  <si>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</si>
  <si>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</si>
  <si>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</si>
  <si>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</si>
  <si>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</si>
  <si>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</si>
  <si>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</si>
  <si>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</si>
  <si>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</si>
  <si>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</si>
  <si>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</si>
  <si>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</si>
  <si>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</si>
  <si>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</si>
  <si>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</si>
  <si>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</si>
  <si>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</si>
  <si>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</si>
  <si>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</si>
  <si>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</si>
  <si>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</si>
  <si>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</si>
  <si>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vm-394670</t>
  </si>
  <si>
    <t>4207a8aa-efef-e31e-c7c2-526845cf3b2f</t>
  </si>
  <si>
    <t>500784ad-0c5a-d1cb-f405-599dbe0dc387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</si>
  <si>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</si>
  <si>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</si>
  <si>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</si>
  <si>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</si>
  <si>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</si>
  <si>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</si>
  <si>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</si>
  <si>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</si>
  <si>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</si>
  <si>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</si>
  <si>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</si>
  <si>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c-tfm4680-fav38-26-sr645.datacenterdhs.local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</si>
  <si>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</si>
  <si>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</si>
  <si>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</si>
  <si>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</si>
  <si>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</si>
  <si>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</si>
  <si>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</si>
  <si>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</si>
  <si>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</si>
  <si>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</si>
  <si>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</si>
  <si>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</si>
  <si>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</si>
  <si>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</si>
  <si>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</si>
  <si>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</si>
  <si>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</si>
  <si>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</si>
  <si>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</si>
  <si>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</si>
  <si>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</si>
  <si>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</si>
  <si>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</si>
  <si>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</si>
  <si>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</si>
  <si>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</si>
  <si>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</si>
  <si>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</si>
  <si>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</si>
  <si>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</si>
  <si>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</si>
  <si>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</si>
  <si>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</si>
  <si>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</si>
  <si>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</si>
  <si>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</si>
  <si>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</si>
  <si>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</si>
  <si>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</si>
  <si>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</si>
  <si>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</si>
  <si>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</si>
  <si>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</si>
  <si>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</si>
  <si>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</si>
  <si>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</si>
  <si>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</si>
  <si>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</si>
  <si>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</si>
  <si>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vm-886780</t>
  </si>
  <si>
    <t>42072359-27fd-b27a-a16e-9560480956e1</t>
  </si>
  <si>
    <t>5007e862-cbd3-3138-d2f2-f63699ecdff5</t>
  </si>
  <si>
    <t>FULA.fiduprevisora.com.co</t>
  </si>
  <si>
    <t>100.65.45.112</t>
  </si>
  <si>
    <t>c-tfm0005331-faz33-9-sr645.datacenterdhs.local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</si>
  <si>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</si>
  <si>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</si>
  <si>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</si>
  <si>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</si>
  <si>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</si>
  <si>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</si>
  <si>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</si>
  <si>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</si>
  <si>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</si>
  <si>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</si>
  <si>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</si>
  <si>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</si>
  <si>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</si>
  <si>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</si>
  <si>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</si>
  <si>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</si>
  <si>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</si>
  <si>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</si>
  <si>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</si>
  <si>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</si>
  <si>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</si>
  <si>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</si>
  <si>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</si>
  <si>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</si>
  <si>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</si>
  <si>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</si>
  <si>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</si>
  <si>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</si>
  <si>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</si>
  <si>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</si>
  <si>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</si>
  <si>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</si>
  <si>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</si>
  <si>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</si>
  <si>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</si>
  <si>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</si>
  <si>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</si>
  <si>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</si>
  <si>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vm-1080566</t>
  </si>
  <si>
    <t>42076229-be8b-1148-407f-4969eed57214</t>
  </si>
  <si>
    <t>500770c2-7d02-c9a0-dc78-d4f2cf8a3811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</si>
  <si>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</si>
  <si>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</si>
  <si>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</si>
  <si>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c-tfm4679-fbc38-14-sr645.datacenterdhs.local</t>
  </si>
  <si>
    <t>vm-1080567</t>
  </si>
  <si>
    <t>420792ce-773e-15dd-1203-4e9e2c8238da</t>
  </si>
  <si>
    <t>500727f6-e95f-16b3-423b-a26cdd951e0b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</si>
  <si>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</si>
  <si>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</si>
  <si>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</si>
  <si>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</si>
  <si>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</si>
  <si>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</si>
  <si>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</si>
  <si>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</si>
  <si>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</si>
  <si>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</si>
  <si>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</si>
  <si>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</si>
  <si>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</si>
  <si>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</si>
  <si>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vm-597725</t>
  </si>
  <si>
    <t>4207372a-18b0-90ff-1df9-e44e753323ba</t>
  </si>
  <si>
    <t>500712eb-6e26-42ee-6a95-7be924f0bf48</t>
  </si>
  <si>
    <t>CreationDate</t>
  </si>
  <si>
    <t>Ticket</t>
  </si>
  <si>
    <t>OperatingSystemFullName</t>
  </si>
  <si>
    <t>OperatingSystemLanguage</t>
  </si>
  <si>
    <t>FLP0277_FIDUPREVISORA</t>
  </si>
  <si>
    <t>comuniuni2</t>
  </si>
  <si>
    <t>172.18.241.137</t>
  </si>
  <si>
    <t>/VDC001_ORT_CENTRALIZADO_CLI/FVM_CLIENTES/FVM_FIDUPREVISORA</t>
  </si>
  <si>
    <t>4206e8b4-1ac7-63f8-7b96-19e78cd5006a</t>
  </si>
  <si>
    <t>172.22.1.241</t>
  </si>
  <si>
    <t>3fb0d8bf-e793-40cc-b6e2-41068cd5b14d</t>
  </si>
  <si>
    <t>FLP0231_FIDUPREVISORA</t>
  </si>
  <si>
    <t>172.16.0.219</t>
  </si>
  <si>
    <t>DPG_CLT308_MGT_PVLAN_3374-3375_OCTADECACORE04</t>
  </si>
  <si>
    <t>DPG_CLT308_SRV_PVLAN_2735-600_OCTADECACORE04</t>
  </si>
  <si>
    <t>DPG_CLT308_PRO_V2605_FIDUPREVISORA</t>
  </si>
  <si>
    <t>/Datacenter_Triara/FCL003_COMPARTIDOS/CLT308_TRI_COM_OCTADECACORE04_FP/Resources/RSP_FIDUPREVISORA</t>
  </si>
  <si>
    <t>group-v28</t>
  </si>
  <si>
    <t>/Datacenter_Triara/Discovered virtual machine</t>
  </si>
  <si>
    <t>[D_TFM3172_R6_N1_ID004_OCTADECACORE04_2TB] FLP0231_FIDUPREVISORA/FLP0231_FIDUPREVISORA.vmx</t>
  </si>
  <si>
    <t>[D_TFM3172_R6_N1_ID004_OCTADECACORE04_2TB] FLP0231_FIDUPREVISORA/</t>
  </si>
  <si>
    <t>Datacenter_Triara</t>
  </si>
  <si>
    <t>CLT308_TRI_COM_OCTADECACORE04_FP</t>
  </si>
  <si>
    <t>vm-40092</t>
  </si>
  <si>
    <t>420b44da-16de-7aeb-32cc-1c0ac936932c</t>
  </si>
  <si>
    <t>500b8489-5a9f-edf9-432f-28cdf182a981</t>
  </si>
  <si>
    <t>172.22.1.211</t>
  </si>
  <si>
    <t>45ff1932-afe4-4887-8993-424e7ecc90d1</t>
  </si>
  <si>
    <t>FLP0234_FIDUPREVISORA</t>
  </si>
  <si>
    <t>CERES.fiduprevisora.com.co</t>
  </si>
  <si>
    <t>172.16.0.206</t>
  </si>
  <si>
    <t>DPG_CLT308_MGT_PVLAN_2280-2281_OCTADECACORE04</t>
  </si>
  <si>
    <t>[D_TFM2877_R6_N2_ID029_OCTADECACORE04_4TB] FLP0234_FIDUPREVISORA/FLP0234_FIDUPREVISORA.vmx</t>
  </si>
  <si>
    <t>[D_TFM2877_R6_N2_ID029_OCTADECACORE04_4TB] FLP0234_FIDUPREVISORA/</t>
  </si>
  <si>
    <t>vm-40090</t>
  </si>
  <si>
    <t>420b9dbe-0280-f303-c3bf-f6e8200cdd8f</t>
  </si>
  <si>
    <t>500bd7cb-6876-b582-f6df-f58b763a74aa</t>
  </si>
  <si>
    <t>FLP0243_FIDUPREVISORA</t>
  </si>
  <si>
    <t>lenin</t>
  </si>
  <si>
    <t>172.27.19.79</t>
  </si>
  <si>
    <t>DPG_CLT308_SRV_PVLAN_2792-2793_OCTADECACORE04</t>
  </si>
  <si>
    <t>[D_TFM2877_R6_N2_ID004_OCTADECACORE04_4TB] FLP0243_FIDUPREVISORA/FLP0243_FIDUPREVISORA.vmx</t>
  </si>
  <si>
    <t>[D_TFM2877_R6_N2_ID004_OCTADECACORE04_4TB] FLP0243_FIDUPREVISORA/</t>
  </si>
  <si>
    <t>Oracle Linux 7.7 Enterprise(32-64 bits)-Eng</t>
  </si>
  <si>
    <t>vm-40074</t>
  </si>
  <si>
    <t>420bbb46-c760-8727-665f-2960e9361baa</t>
  </si>
  <si>
    <t>500b1393-ef9c-3fe6-a9b1-03fc2db553ca</t>
  </si>
  <si>
    <t>OperatingSystemName</t>
  </si>
  <si>
    <t>OT</t>
  </si>
  <si>
    <t>VDC001_MGC_CENTRALIZADO</t>
  </si>
  <si>
    <t>CLT303_MGC_COM_QUADOCTACORE</t>
  </si>
  <si>
    <t>c-tfm4536-2nn09-22-sr645.datacenterdhs.local</t>
  </si>
  <si>
    <t>172.20.90.2</t>
  </si>
  <si>
    <t>3995fd41-02f6-4851-94a7-ea56b86344b0</t>
  </si>
  <si>
    <t>group-v22</t>
  </si>
  <si>
    <t>/VDC001_MGC_CENTRALIZADO</t>
  </si>
  <si>
    <t>vm-141367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</si>
  <si>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</si>
  <si>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</si>
  <si>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</si>
  <si>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c-tfm4538-2qr06-08-sr645.datacenterdhs.local</t>
  </si>
  <si>
    <t>vm-77266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</si>
  <si>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</si>
  <si>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</si>
  <si>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</si>
  <si>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</si>
  <si>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423c72a0-af73-0955-10b1-e53dccb6a5ac</t>
  </si>
  <si>
    <t>503c3deb-4749-e426-42d2-61f8ce355974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</si>
  <si>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</si>
  <si>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</si>
  <si>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</si>
  <si>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</si>
  <si>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</si>
  <si>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</si>
  <si>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</si>
  <si>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</si>
  <si>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</si>
  <si>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</si>
  <si>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</si>
  <si>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</si>
  <si>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c-tfm5118-3c3-06-sr645.datacenterdhs.local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</si>
  <si>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</si>
  <si>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</si>
  <si>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</si>
  <si>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</si>
  <si>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</si>
  <si>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</si>
  <si>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</si>
  <si>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</si>
  <si>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</si>
  <si>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</si>
  <si>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</si>
  <si>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</si>
  <si>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</si>
  <si>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</si>
  <si>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c-tfm5119-3d3-06-sr645.datacenterdhs.local</t>
  </si>
  <si>
    <t>vm-138947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</si>
  <si>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</si>
  <si>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</si>
  <si>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</si>
  <si>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</si>
  <si>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</si>
  <si>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</si>
  <si>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vm-149088</t>
  </si>
  <si>
    <t>vm-77268</t>
  </si>
  <si>
    <t>vm-82341</t>
  </si>
  <si>
    <t>423c5068-81da-0d39-9e5d-ce6e12bdf9ee</t>
  </si>
  <si>
    <t>503c397c-372e-5202-536b-19b74838fc7c</t>
  </si>
  <si>
    <t xml:space="preserve">Recursos </t>
  </si>
  <si>
    <t>vCPU</t>
  </si>
  <si>
    <t>vRAM (GB)</t>
  </si>
  <si>
    <t>Almacenamiento (TB)</t>
  </si>
  <si>
    <t>Capacidades IaaS -  Anexo 7 Condiciones Técnicas - Contrato 011-2023</t>
  </si>
  <si>
    <t>Incremento a Noviembre 2024 del 5%</t>
  </si>
  <si>
    <t xml:space="preserve">Recursos IaaS </t>
  </si>
  <si>
    <t>Colocation</t>
  </si>
  <si>
    <t>Total Capacidades Aprovisionadas</t>
  </si>
  <si>
    <t>TOTAL RECURSOS DISPONIBLES</t>
  </si>
  <si>
    <t>PORCENTAJE DE OCUPACIÓN</t>
  </si>
  <si>
    <t># MV</t>
  </si>
  <si>
    <t>FIPR001CSP1MASTER1</t>
  </si>
  <si>
    <t>FIPR001CSP1WORKER3</t>
  </si>
  <si>
    <t>1%</t>
  </si>
  <si>
    <t>100.64.152.2</t>
  </si>
  <si>
    <t>[H_TFM4915_R6_MT_ID020_OCTADECACORE_4TB] FLP0000575_FIDUPREVISORA/FLP0000575_FIDUPREVISORA.vmx</t>
  </si>
  <si>
    <t>[H_TFM4915_R6_MT_ID020_OCTADECACORE_4TB] FLP0000575_FIDUPREVISORA/</t>
  </si>
  <si>
    <t>vm-2570146</t>
  </si>
  <si>
    <t>42073425-9567-6965-cbd3-ecba5c092165</t>
  </si>
  <si>
    <t>50074a8d-2b48-97cf-7201-f9f70b9b40a5</t>
  </si>
  <si>
    <t>[H_TFM4915_R6_MT_ID052_OCTADECACORE_4TB] FLP0000576_FIDUPREVISORA/FLP0000576_FIDUPREVISORA.vmx</t>
  </si>
  <si>
    <t>[H_TFM4915_R6_MT_ID052_OCTADECACORE_4TB] FLP0000576_FIDUPREVISORA/</t>
  </si>
  <si>
    <t>vm-2578589</t>
  </si>
  <si>
    <t>42076c24-74b9-5e68-438b-7f09bd65912e</t>
  </si>
  <si>
    <t>50076f54-151a-8244-b80e-ca1003437d97</t>
  </si>
  <si>
    <t>[H_TFM4915_R6_MT_ID052_OCTADECACORE_4TB] FLP0000577_FIDUPREVISORA/FLP0000577_FIDUPREVISORA.vmx</t>
  </si>
  <si>
    <t>[H_TFM4915_R6_MT_ID052_OCTADECACORE_4TB] FLP0000577_FIDUPREVISORA/</t>
  </si>
  <si>
    <t>vm-2593663</t>
  </si>
  <si>
    <t>42078f37-26b8-4fb8-c196-7dd7a6a393bb</t>
  </si>
  <si>
    <t>5007a3b6-f4b9-cc0b-02ea-66e139448533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</si>
  <si>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</si>
  <si>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</si>
  <si>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</si>
  <si>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vm-2593664</t>
  </si>
  <si>
    <t>42079869-0a19-9a4c-0f10-f259c29c9939</t>
  </si>
  <si>
    <t>5007a598-8e26-9989-b80d-10cf11443ead</t>
  </si>
  <si>
    <t>[H_TFM3814_R6_N1_IDO10_FIDUPREVISORA_1.1TB] FLP0481_FIDUPREVISORA_Rep/FLP0481_FIDUPREVISORA_Rep.vmx</t>
  </si>
  <si>
    <t>[H_TFM3814_R6_N1_IDO10_FIDUPREVISORA_1.1TB] FLP0481_FIDUPREVISORA_Rep/</t>
  </si>
  <si>
    <t>c-tfm0005490-ck22-05-sr645.datacenterdhs.local</t>
  </si>
  <si>
    <t>100.66.26.227</t>
  </si>
  <si>
    <t>[H_TFM2117_R6_N2_ID036_OCTADECACORE_4TB] FLP0000574_FIDUPREVISORA/FLP0000574_FIDUPREVISORA.vmx</t>
  </si>
  <si>
    <t>[H_TFM2117_R6_N2_ID036_OCTADECACORE_4TB] FLP0000574_FIDUPREVISORA/</t>
  </si>
  <si>
    <t>Linux Red Hat 9.3 Normalización mediante ASGARD. Actualización 17/01/2025. ES.</t>
  </si>
  <si>
    <t>vm-2658054</t>
  </si>
  <si>
    <t>42074ff7-6834-04f7-e552-3eefb230b863</t>
  </si>
  <si>
    <t>5007fb00-703f-c544-677a-9f1a14390e99</t>
  </si>
  <si>
    <t>FLAVIAN</t>
  </si>
  <si>
    <t>100.66.28.2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</si>
  <si>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</si>
  <si>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</si>
  <si>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</si>
  <si>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</si>
  <si>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</si>
  <si>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</si>
  <si>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vm-2637099</t>
  </si>
  <si>
    <t>42075c97-cf26-d545-9d82-7526d18d6fdd</t>
  </si>
  <si>
    <t>50075785-163f-d0c0-8051-b14ed236e22e</t>
  </si>
  <si>
    <t>FLP0000627_FIDUPREVISORA</t>
  </si>
  <si>
    <t>100.66.250.62</t>
  </si>
  <si>
    <t>vm-2637103</t>
  </si>
  <si>
    <t>4207406c-4f59-4e43-02ce-902a91f1ff10</t>
  </si>
  <si>
    <t>50071071-66ae-4b24-2da8-77293097c20e</t>
  </si>
  <si>
    <t>FLP0000628_FIDUPREVISORA</t>
  </si>
  <si>
    <t>BACHUE.fiduprevisora.com.co</t>
  </si>
  <si>
    <t>172.16.0.60</t>
  </si>
  <si>
    <t>[D_TFM2877_R6_N1_ID011_OCTADECACORE_4TB] FLP0000628_FIDUPREVISORA/FLP0000628_FIDUPREVISORA.vmx</t>
  </si>
  <si>
    <t>[D_TFM2877_R6_N1_ID011_OCTADECACORE_4TB] FLP0000628_FIDUPREVISORA/</t>
  </si>
  <si>
    <t>vm-2637109</t>
  </si>
  <si>
    <t>4207bb39-f4cf-1f1d-2901-44c3527f80c9</t>
  </si>
  <si>
    <t>50070647-dd4d-7608-fceb-4820950f062e</t>
  </si>
  <si>
    <t>VMware vCenter Server 8.0.3 build-24322831</t>
  </si>
  <si>
    <t>8.0.3.0</t>
  </si>
  <si>
    <t>172.27.218.43</t>
  </si>
  <si>
    <t>FLP0492_FIDUPREVISORA_Restore</t>
  </si>
  <si>
    <t>vm-2711205</t>
  </si>
  <si>
    <t>4207bbeb-ef7b-89e8-8dc1-83650651c491</t>
  </si>
  <si>
    <t>500706de-b524-d2bb-65b6-e21d071789ad</t>
  </si>
  <si>
    <t>FLP0129_FIDUPREVISORA_Restore_NO ELIMINAR</t>
  </si>
  <si>
    <t>amd-zen3</t>
  </si>
  <si>
    <t>c-tfm0005330-faz33-8-sr645.datacenterdhs.local</t>
  </si>
  <si>
    <t>amd-zen4</t>
  </si>
  <si>
    <t>DPG_CLT314_PRO_V1095_OCTADECACORE09</t>
  </si>
  <si>
    <t>[H_TFM4915_R6_MT_ID259_OCTADECACORE09_5TB] FLP0000558_FIDUPREVISORA/FLP0000558_FIDUPREVISORA.vmx</t>
  </si>
  <si>
    <t>[H_TFM4915_R6_MT_ID259_OCTADECACORE09_5TB] FLP0000558_FIDUPREVISORA/</t>
  </si>
  <si>
    <t>FIPR001CSP1WORKER1</t>
  </si>
  <si>
    <t>FIPR001CSP1WORKER2</t>
  </si>
  <si>
    <t>nencatacoa</t>
  </si>
  <si>
    <t>FLP0000619_FIDUPREVISORA</t>
  </si>
  <si>
    <t>100.66.34.235</t>
  </si>
  <si>
    <t>[H_TFM1765_R6_N4_ID002_OCTADECACORE02_4TB] FLP0000619_FIDUPREVISORA/FLP0000619_FIDUPREVISORA.vmx</t>
  </si>
  <si>
    <t>[H_TFM1765_R6_N4_ID002_OCTADECACORE02_4TB] FLP0000619_FIDUPREVISORA/</t>
  </si>
  <si>
    <t>Windows Server 2022 Standard - English. Normalización mediante ASGARD. Actualización 13/06/2025. KB.</t>
  </si>
  <si>
    <t>vm-2891644</t>
  </si>
  <si>
    <t>42073771-c7ce-a213-28a1-e3300b465393</t>
  </si>
  <si>
    <t>500708e4-ae1c-2ec2-2aa7-8769a9f0b9af</t>
  </si>
  <si>
    <t>/VDC001_TRI_CENTRALIZADO_CLI/FCL003_COMPARTIDOS/CLT306_TRI_COM_OCTADECACORE02_FP/Resources/RP_Fiduprevisora</t>
  </si>
  <si>
    <t>c-tfm3145-fbe38-0211-sn550g2.datacenterdhs.local</t>
  </si>
  <si>
    <t>[H_TFM1765_R6_N4_ID021_OCTADECACORE_3.6TB] FLP0245_FIDUPREVISORA_IM1518876/FLP0245_FIDUPREVISORA_IM1518876.vmx</t>
  </si>
  <si>
    <t>[H_TFM1765_R6_N4_ID021_OCTADECACORE_3.6TB] FLP0245_FIDUPREVISORA_IM1518876/</t>
  </si>
  <si>
    <t>Backup Job ID [52123412]  Client: [VCSATRIARA_EXT], Backup Set: [FIDUPREVISORA], Subclient: [FLP0326_FIDUPREVISORA_APPLIANCE]</t>
  </si>
  <si>
    <t>06/08/2025 20:09:03</t>
  </si>
  <si>
    <t>Other 4.x Linux (64-bit)</t>
  </si>
  <si>
    <t>Backup Job ID [52121443]  Client: [VCSATRIARA_EXT], Backup Set: [FIDUPREVISORA], Subclient: [FLP0377_FIDUPREVISORA_APPLIANCE]</t>
  </si>
  <si>
    <t>06/08/2025 20:15:58</t>
  </si>
  <si>
    <t>172.27.16.244</t>
  </si>
  <si>
    <t>[D_TFM2877_R5_N1_ID025_DECACORE003_4TB] FLP0492_FIDUPREVISORA_Restore/FLP0492_FIDUPREVISORA_Restore.vmx</t>
  </si>
  <si>
    <t>[D_TFM2877_R5_N1_ID025_DECACORE003_4TB] FLP0492_FIDUPREVISORA_Restore/</t>
  </si>
  <si>
    <t>c-tfm4129-cj06-0216-ch121v5.datacenterdhs.local</t>
  </si>
  <si>
    <t>Recursos IaaS aprovisionados</t>
  </si>
  <si>
    <t>Incremento Julio 2025 del 5%</t>
  </si>
  <si>
    <t>Total Capacidades IaaS -  Anexo 7 + adicion 2024</t>
  </si>
  <si>
    <t>Total Capacidades IaaS -  Anexo 7 + adicion 2024 + adicion 2025</t>
  </si>
  <si>
    <t>openshift-hadron-p4m22</t>
  </si>
  <si>
    <t>Backup Job ID [53476693]  Client: [VCSATRIARA_EXT], Backup Set: [FIDUPREVISORA], Subclient: [FLP0000544]</t>
  </si>
  <si>
    <t>07/24/2025 09:47:33</t>
  </si>
  <si>
    <t>Backup Job ID [53476681]  Client: [VCSATRIARA_EXT], Backup Set: [FIDUPREVISORA], Subclient: [FLP0000545]</t>
  </si>
  <si>
    <t>07/24/2025 09:19:12</t>
  </si>
  <si>
    <t>c-tfm4568-gae03-11-sr645.datacenterdhs.local</t>
  </si>
  <si>
    <t>Mercurio</t>
  </si>
  <si>
    <t>[H_TFM2117_R10_N1_ID057_OCTADECACORE_3TB] FLP0000627_FIDUPREVISORA/FLP0000627_FIDUPREVISORA.vmx</t>
  </si>
  <si>
    <t>[H_TFM2117_R10_N1_ID057_OCTADECACORE_3TB] FLP0000627_FIDUPREVISORA/</t>
  </si>
  <si>
    <t>[D_TFM2647_R6_N2_ID024_OCTADECACORE02_4TB] FLP0121_CLON_RF1611346/FLP0121_CLON_RF1611346.vmx</t>
  </si>
  <si>
    <t>[D_TFM2647_R6_N2_ID024_OCTADECACORE02_4TB] FLP0121_CLON_RF1611346/</t>
  </si>
  <si>
    <t>[D_TFM2647_R6_N2_ID002_OCTADECACORE02_4TB] FLP0121_FIDUPREVISORA/FLP0121_FIDUPREVISORA.vmx</t>
  </si>
  <si>
    <t>[D_TFM2647_R6_N2_ID002_OCTADECACORE02_4TB] FLP0121_FIDUPREVISORA/</t>
  </si>
  <si>
    <t>c-tfm5117-el07-13-sr645.datacenterdhs.local</t>
  </si>
  <si>
    <t>VDC001_ORT_CENTRALIZADO_CLI</t>
  </si>
  <si>
    <t>Total Capacidades IaaS -  Anexo 7 + adición 2024 + adición 2025</t>
  </si>
  <si>
    <t>Total Capacidades IaaS -  Anexo 7 + adición 2024</t>
  </si>
  <si>
    <t>TABLA DE RECURSOS - DATACENTER PRINCIPAL IAAS</t>
  </si>
  <si>
    <t>TABLA DE RECURSOS - DATACENTER DE CONTINGENCIA MEGACENTER</t>
  </si>
  <si>
    <t>VM.1</t>
  </si>
  <si>
    <t>/VDC001_TRI_CENTRALIZADO_CLI/FCL003_COMPARTIDOS/CLT314_TRI_COM_OCTADECACORE09_ACI_ADD/Resources</t>
  </si>
  <si>
    <t>10.10.2.40</t>
  </si>
  <si>
    <t>100.64.152.5</t>
  </si>
  <si>
    <t>100.64.152.6</t>
  </si>
  <si>
    <t>FLP00006231_FIDUPREVISORA</t>
  </si>
  <si>
    <t>HEBE</t>
  </si>
  <si>
    <t>100.66.80.225</t>
  </si>
  <si>
    <t>DPG_CLT315_MGT_PVLAN_1329-1330_OCTADECACORE10</t>
  </si>
  <si>
    <t>[H_TFM2117_R10_N1_ID079_OCTADECACORE_3TB] FLP00006231_FIDUPREVISORA/FLP00006231_FIDUPREVISORA.vmx</t>
  </si>
  <si>
    <t>[H_TFM2117_R10_N1_ID079_OCTADECACORE_3TB] FLP00006231_FIDUPREVISORA/</t>
  </si>
  <si>
    <t>c-tfm0005483-cd14-02-sr645.datacenterdhs.local</t>
  </si>
  <si>
    <t>vm-3074280</t>
  </si>
  <si>
    <t>42076aca-105f-2191-026f-112c76fcf9af</t>
  </si>
  <si>
    <t>50078415-c880-40e5-a6e6-9597cbbd1f02</t>
  </si>
  <si>
    <t>FLP00006241_FIDUPREVISORA</t>
  </si>
  <si>
    <t>HATOR</t>
  </si>
  <si>
    <t>100.66.80.224</t>
  </si>
  <si>
    <t>[H_TFM4582_R6_N1_ID038_OCTADECACORE-BELLEZA_4TB] FLP00006241_FIDUPREVISORA/FLP00006241_FIDUPREVISORA.vmx</t>
  </si>
  <si>
    <t>[H_TFM4582_R6_N1_ID038_OCTADECACORE-BELLEZA_4TB] FLP00006241_FIDUPREVISORA/</t>
  </si>
  <si>
    <t>vm-3074279</t>
  </si>
  <si>
    <t>4207e11a-5929-e247-c5e8-7333c3c08fb0</t>
  </si>
  <si>
    <t>50070675-7023-03d3-3a6e-fe489d9640a5</t>
  </si>
  <si>
    <t>FLP0000629_FIDUPREVISORA</t>
  </si>
  <si>
    <t>PITAGORAS1</t>
  </si>
  <si>
    <t>100.66.250.250</t>
  </si>
  <si>
    <t>group-v1510240</t>
  </si>
  <si>
    <t>/VDC001_TRI_CENTRALIZADO_CLI/FVM_CLIENTES/FVM_DEPLOYAUTO</t>
  </si>
  <si>
    <t>[H_TFM2117_R6_N2_ID020_OCTADECACORE_4TB] FLP0000629_FIDUPREVISORA/FLP0000629_FIDUPREVISORA.vmx</t>
  </si>
  <si>
    <t>[H_TFM2117_R6_N2_ID020_OCTADECACORE_4TB] FLP0000629_FIDUPREVISORA/</t>
  </si>
  <si>
    <t>Windows Server 2022 Standard - English. Normalización mediante ASGARD. Actualización 14/08/2025. KB.</t>
  </si>
  <si>
    <t>vm-3040322</t>
  </si>
  <si>
    <t>420783a2-ace0-c438-f5dc-5c5960566198</t>
  </si>
  <si>
    <t>500798eb-09ec-ce4f-5668-b2b059562a05</t>
  </si>
  <si>
    <t>FLP0000630_FIDUPREVISORA</t>
  </si>
  <si>
    <t>PITAGORAS2</t>
  </si>
  <si>
    <t>100.66.250.251</t>
  </si>
  <si>
    <t>[H_TFM2117_R6_N2_ID020_OCTADECACORE_4TB] FLP0000630_FIDUPREVISORA/FLP0000630_FIDUPREVISORA.vmx</t>
  </si>
  <si>
    <t>[H_TFM2117_R6_N2_ID020_OCTADECACORE_4TB] FLP0000630_FIDUPREVISORA/</t>
  </si>
  <si>
    <t>vm-3040324</t>
  </si>
  <si>
    <t>42072220-2e38-a6ed-6dfc-89145f8a935c</t>
  </si>
  <si>
    <t>5007f1d2-5ac9-fde6-bba3-da458126e67b</t>
  </si>
  <si>
    <t>FLP0000631_FIDUPREVISORA</t>
  </si>
  <si>
    <t>PITAGORAS3</t>
  </si>
  <si>
    <t>100.66.250.252</t>
  </si>
  <si>
    <t>[D_TFM2647_R6_N2_ID002_OCTADECACORE02_4TB] FLP0000631_FIDUPREVISORA/FLP0000631_FIDUPREVISORA.vmx</t>
  </si>
  <si>
    <t>[D_TFM2647_R6_N2_ID002_OCTADECACORE02_4TB] FLP0000631_FIDUPREVISORA/</t>
  </si>
  <si>
    <t>vm-3040325</t>
  </si>
  <si>
    <t>4207fabe-f56e-ca0a-4e6c-f4cc48c715fa</t>
  </si>
  <si>
    <t>5007e112-fdcc-5158-81dc-9e0c08516ee3</t>
  </si>
  <si>
    <t>c-tfm2795-cj06-0210-ch121v5.datacenterdhs.local</t>
  </si>
  <si>
    <t>100.66.39.62</t>
  </si>
  <si>
    <t>DPG_CLT315_MGT_PVLAN_2280-2281_OCTADECACORE10</t>
  </si>
  <si>
    <t>FLP0100_FIDUPREVISORA</t>
  </si>
  <si>
    <t>ZENON_UTT.fiduprevisora.com.co</t>
  </si>
  <si>
    <t>[D_TFM2647_R6_N2_ID019_OCTADECACORE02_4TB] FLP0100_FIDUPREVISORA/FLP0100_FIDUPREVISORA.vmx</t>
  </si>
  <si>
    <t>[D_TFM2647_R6_N2_ID019_OCTADECACORE02_4TB] FLP0100_FIDUPREVISORA/</t>
  </si>
  <si>
    <t>FOMAG_SERVIDOR DE PRUEBAS</t>
  </si>
  <si>
    <t>vm-11569</t>
  </si>
  <si>
    <t>420b9a23-75bc-2bd2-456b-f88448458169</t>
  </si>
  <si>
    <t>500b6768-10e7-77d3-d9cc-275e8330d885</t>
  </si>
  <si>
    <t>[H_TFM2117_R6_N2_ID050_OCTADECACORE02_1.13TB] FLP0114_FIDUPREVISORA_Rep/FLP0114_FIDUPREVISORA_Rep.vmx</t>
  </si>
  <si>
    <t>[H_TFM2117_R6_N2_ID050_OCTADECACORE02_1.13TB] FLP0114_FIDUPREVISORA_Rep/</t>
  </si>
  <si>
    <t>Backup Job ID [54540396]  Client: [VCSATRIARA_EXT], Backup Set: [FIDUPREVISORA], Subclient: [FLP0121_CLON_RF1611346]</t>
  </si>
  <si>
    <t>08/28/2025 17:59:48</t>
  </si>
  <si>
    <t>[D_TFM2647_R6_N2_ID003_OCTADECACORE02_4TB] FLP0232_FIDUPREVISORA/FLP0232_FIDUPREVISORA.vmx</t>
  </si>
  <si>
    <t>[D_TFM2647_R6_N2_ID003_OCTADECACORE02_4TB] FLP0232_FIDUPREVISORA/</t>
  </si>
  <si>
    <t>c-tfm2533-cj06-0207-ch121v5.datacenterdhs.local</t>
  </si>
  <si>
    <t>c-tfm3137-fbe38-0203-sn550g2.datacenterdhs.local</t>
  </si>
  <si>
    <t>DPG_CLT304_MGT_PVLAN_3374-3375</t>
  </si>
  <si>
    <t>DPG_CLT304_SRV_PVLAN_2735-600</t>
  </si>
  <si>
    <t>DPG_CLT304_PRO_V0168_FIDUPREVISORA</t>
  </si>
  <si>
    <t>/VDC001_ORT_CENTRALIZADO_CLI/FCL002_COMPARTIDOS/CLT304_ORT_COM_DECACORE004/Resources/RSP_FIDUPREVISORA</t>
  </si>
  <si>
    <t>group-v683</t>
  </si>
  <si>
    <t>[H_TFM1772_R5_N2_ID014_DECACOREBK4_2TBntoca] FLP0277_FIDUPREVISORA/FLP0277_FIDUPREVISORA.vmx</t>
  </si>
  <si>
    <t>[H_TFM1772_R5_N2_ID014_DECACOREBK4_2TBntoca] FLP0277_FIDUPREVISORA/</t>
  </si>
  <si>
    <t>CLT304_ORT_COM_DECACORE004</t>
  </si>
  <si>
    <t>c-tfm4819-aac19-24-sr645.datacenterdhs.local</t>
  </si>
  <si>
    <t>vm-79453</t>
  </si>
  <si>
    <t>50064bca-da53-7927-2a82-daa39086fa54</t>
  </si>
  <si>
    <t>FLP0492_FIDUPREVISORA</t>
  </si>
  <si>
    <t>[I_TFM4582_R6_N2_ID100_OCTADECACORE09_4TB] FLP0493_FIDUPREVISORA_CLON/FLP0493_FIDUPREVISORA_CLON.vmx</t>
  </si>
  <si>
    <t>[I_TFM4582_R6_N2_ID100_OCTADECACORE09_4TB] FLP0493_FIDUPREVISORA_CLON/</t>
  </si>
  <si>
    <t>vm-1168803</t>
  </si>
  <si>
    <t>42075adc-a356-99b3-c737-b75507c7526c</t>
  </si>
  <si>
    <t>5007f45c-4174-d1c4-f851-08f89fb884b3</t>
  </si>
  <si>
    <t>Total Capacidades Aprovisionadas IAAS</t>
  </si>
  <si>
    <t>VMware vCenter Server 8.0.3 build-24853646</t>
  </si>
  <si>
    <t>Backup Job ID [55604036]  Client: [VCSATRIARA_EXT], Backup Set: [FIDUPREVISORA], Subclient: [FLP0000546]</t>
  </si>
  <si>
    <t>10/01/2025 04:05:49</t>
  </si>
  <si>
    <t>Backup Job ID [55592825]  Client: [VCSATRIARA_EXT], Backup Set: [FIDUPREVISORA], Subclient: [FLP0000547]</t>
  </si>
  <si>
    <t>09/30/2025 22:10:33</t>
  </si>
  <si>
    <t>Backup Job ID [55592829]  Client: [VCSATRIARA_EXT], Backup Set: [FIDUPREVISORA], Subclient: [FLP0000548]</t>
  </si>
  <si>
    <t>09/30/2025 22:08:17</t>
  </si>
  <si>
    <t>c-tfm5206-gak03-10-sr645.datacenterdhs.local</t>
  </si>
  <si>
    <t>Backup Job ID [55593746]  Client: [VCSATRIARA_EXT], Backup Set: [FIDUPREVISORA], Subclient: [FLP0000555]</t>
  </si>
  <si>
    <t>09/30/2025 22:42:14</t>
  </si>
  <si>
    <t>Backup Job ID [55595228]  Client: [VCSATRIARA_EXT], Backup Set: [FIDUPREVISORA], Subclient: [FLP0000556]</t>
  </si>
  <si>
    <t>09/30/2025 23:07:29</t>
  </si>
  <si>
    <t>Backup Job ID [55592839]  Client: [VCSATRIARA_EXT], Backup Set: [FIDUPREVISORA], Subclient: [FLP0000557]</t>
  </si>
  <si>
    <t>09/30/2025 22:30:03</t>
  </si>
  <si>
    <t>Backup Job ID [55593749]  Client: [VCSATRIARA_EXT], Backup Set: [FIDUPREVISORA], Subclient: [FLP0000558]</t>
  </si>
  <si>
    <t>09/30/2025 22:40:59</t>
  </si>
  <si>
    <t>Backup Job ID [55596893]  Client: [VCSATRIARA_EXT], Backup Set: [FIDUPREVISORA], Subclient: [FLP0000559]</t>
  </si>
  <si>
    <t>10/01/2025 00:06:59</t>
  </si>
  <si>
    <t>Backup Job ID [55596975]  Client: [VCSATRIARA_EXT], Backup Set: [FIDUPREVISORA], Subclient: [FLP0000560]</t>
  </si>
  <si>
    <t>10/01/2025 00:06:47</t>
  </si>
  <si>
    <t>Backup Job ID [55595262]  Client: [VCSATRIARA_EXT], Backup Set: [FIDUPREVISORA], Subclient: [FLP0000561]</t>
  </si>
  <si>
    <t>09/30/2025 23:08:07</t>
  </si>
  <si>
    <t>Backup Job ID [55600512]  Client: [VCSATRIARA_EXT], Backup Set: [FIDUPREVISORA], Subclient: [FLP0000562]</t>
  </si>
  <si>
    <t>10/01/2025 02:07:33</t>
  </si>
  <si>
    <t>Backup Job ID [55602677]  Client: [VCSATRIARA_EXT], Backup Set: [FIDUPREVISORA], Subclient: [FLP0000563]</t>
  </si>
  <si>
    <t>10/01/2025 03:10:54</t>
  </si>
  <si>
    <t>Backup Job ID [55593808]  Client: [VCSATRIARA_EXT], Backup Set: [FIDUPREVISORA], Subclient: [FLP0000564]</t>
  </si>
  <si>
    <t>09/30/2025 22:36:36</t>
  </si>
  <si>
    <t>Backup Job ID [55602632]  Client: [VCSATRIARA_EXT], Backup Set: [FIDUPREVISORA], Subclient: [FLP0000565]</t>
  </si>
  <si>
    <t>10/01/2025 03:09:57</t>
  </si>
  <si>
    <t>[H_TFM4915_R6_MT_ID019_OCTADECACORE_4TB] FLP0000566_FIDUPREVISORA/FLP0000566_FIDUPREVISORA.vmx</t>
  </si>
  <si>
    <t>[H_TFM4915_R6_MT_ID019_OCTADECACORE_4TB] FLP0000566_FIDUPREVISORA/</t>
  </si>
  <si>
    <t>Backup Job ID [55600390]  Client: [VCSATRIARA_EXT], Backup Set: [FIDUPREVISORA], Subclient: [FLP0000566]</t>
  </si>
  <si>
    <t>10/01/2025 02:06:34</t>
  </si>
  <si>
    <t>Backup Job ID [55600825]  Client: [VCSATRIARA_EXT], Backup Set: [FIDUPREVISORA], Subclient: [FLP0000567]</t>
  </si>
  <si>
    <t>10/01/2025 02:19:36</t>
  </si>
  <si>
    <t>Backup Job ID [55593752]  Client: [VCSATRIARA_EXT], Backup Set: [FIDUPREVISORA], Subclient: [FLP0000568]</t>
  </si>
  <si>
    <t>09/30/2025 23:16:05</t>
  </si>
  <si>
    <t>fidumonitoreo</t>
  </si>
  <si>
    <t>/VDC001_TRI_CENTRALIZADO_CLI/FCL003_COMPARTIDOS/CLT315_TRI_COM_OCTADECACORE10_ACI/Resources/RSP_FIDUPREVISORA</t>
  </si>
  <si>
    <t>Backup Job ID [55592840]  Client: [VCSATRIARA_EXT], Backup Set: [FIDUPREVISORA], Subclient: [FLP0000574]</t>
  </si>
  <si>
    <t>09/30/2025 22:09:21</t>
  </si>
  <si>
    <t>Backup Job ID [55592550]  Client: [VCSATRIARA_EXT], Backup Set: [FIDUPREVISORA], Subclient: [FLP0000575]</t>
  </si>
  <si>
    <t>09/30/2025 22:04:15</t>
  </si>
  <si>
    <t>Backup Job ID [55596894]  Client: [VCSATRIARA_EXT], Backup Set: [FIDUPREVISORA], Subclient: [FLP0000576]</t>
  </si>
  <si>
    <t>10/01/2025 00:05:04</t>
  </si>
  <si>
    <t>Backup Job ID [55592841]  Client: [VCSATRIARA_EXT], Backup Set: [FIDUPREVISORA], Subclient: [FLP0000577]</t>
  </si>
  <si>
    <t>09/30/2025 22:08:59</t>
  </si>
  <si>
    <t>Backup Job ID [55593755]  Client: [VCSATRIARA_EXT], Backup Set: [FIDUPREVISORA], Subclient: [FLP0000578]</t>
  </si>
  <si>
    <t>09/30/2025 22:40:16</t>
  </si>
  <si>
    <t>Backup Job ID [55592842]  Client: [VCSATRIARA_EXT], Backup Set: [FIDUPREVISORA], Subclient: [FLP0000579]</t>
  </si>
  <si>
    <t>09/30/2025 22:09:05</t>
  </si>
  <si>
    <t>Backup Job ID [55589345]  Client: [VCSATRIARA_EXT], Backup Set: [FIDUPREVISORA], Subclient: [FLP0000596]</t>
  </si>
  <si>
    <t>09/30/2025 20:26:22</t>
  </si>
  <si>
    <t>Backup Job ID [55602495]  Client: [VCSATRIARA_EXT], Backup Set: [FIDUPREVISORA], Subclient: [FLP0000597]</t>
  </si>
  <si>
    <t>10/01/2025 03:10:49</t>
  </si>
  <si>
    <t>Backup Job ID [55598515]  Client: [VCSATRIARA_EXT], Backup Set: [FIDUPREVISORA], Subclient: [FLP0000598]</t>
  </si>
  <si>
    <t>10/01/2025 01:05:59</t>
  </si>
  <si>
    <t>Backup Job ID [55604055]  Client: [VCSATRIARA_EXT], Backup Set: [FIDUPREVISORA], Subclient: [FLP0000599]</t>
  </si>
  <si>
    <t>10/01/2025 04:05:55</t>
  </si>
  <si>
    <t>Backup Job ID [55586094]  Client: [VCSATRIARA_EXT], Backup Set: [FIDUPREVISORA], Subclient: [FLP0000600]</t>
  </si>
  <si>
    <t>09/30/2025 18:05:39</t>
  </si>
  <si>
    <t>Backup Job ID [55589346]  Client: [VCSATRIARA_EXT], Backup Set: [FIDUPREVISORA], Subclient: [FLP0000601]</t>
  </si>
  <si>
    <t>09/30/2025 20:13:30</t>
  </si>
  <si>
    <t>Backup Job ID [55600827]  Client: [VCSATRIARA_EXT], Backup Set: [FIDUPREVISORA], Subclient: [FLP0000602]</t>
  </si>
  <si>
    <t>10/01/2025 02:25:07</t>
  </si>
  <si>
    <t>Backup Job ID [55602400]  Client: [VCSATRIARA_EXT], Backup Set: [FIDUPREVISORA], Subclient: [FLP0000603]</t>
  </si>
  <si>
    <t>10/01/2025 03:12:21</t>
  </si>
  <si>
    <t>Backup Job ID [55590973]  Client: [VCSATRIARA_EXT], Backup Set: [FIDUPREVISORA], Subclient: [FLP0000604]</t>
  </si>
  <si>
    <t>09/30/2025 21:09:11</t>
  </si>
  <si>
    <t>Backup Job ID [55604056]  Client: [VCSATRIARA_EXT], Backup Set: [FIDUPREVISORA], Subclient: [FLP0000605]</t>
  </si>
  <si>
    <t>10/01/2025 04:06:09</t>
  </si>
  <si>
    <t>Backup Job ID [55602498]  Client: [VCSATRIARA_EXT], Backup Set: [FIDUPREVISORA], Subclient: [FLP0000606]</t>
  </si>
  <si>
    <t>10/01/2025 03:09:02</t>
  </si>
  <si>
    <t>Backup Job ID [55603836]  Client: [VCSATRIARA_EXT], Backup Set: [FIDUPREVISORA], Subclient: [FLP0000607]</t>
  </si>
  <si>
    <t>10/01/2025 04:04:28</t>
  </si>
  <si>
    <t>Backup Job ID [55589347]  Client: [VCSATRIARA_EXT], Backup Set: [FIDUPREVISORA], Subclient: [FLP0000608]</t>
  </si>
  <si>
    <t>09/30/2025 20:11:09</t>
  </si>
  <si>
    <t>Backup Job ID [55602500]  Client: [VCSATRIARA_EXT], Backup Set: [FIDUPREVISORA], Subclient: [FLP0000609]</t>
  </si>
  <si>
    <t>10/01/2025 03:08:45</t>
  </si>
  <si>
    <t>Backup Job ID [55599903]  Client: [VCSATRIARA_EXT], Backup Set: [FIDUPREVISORA], Subclient: [FLP0000610]</t>
  </si>
  <si>
    <t>10/01/2025 02:05:00</t>
  </si>
  <si>
    <t>[H_TFM2117_R6_N4_ID016_OCTADECACORE02_4TB] FLP0000611_FIDUPREVISORA/FLP0000611_FIDUPREVISORA.vmx</t>
  </si>
  <si>
    <t>[H_TFM2117_R6_N4_ID016_OCTADECACORE02_4TB] FLP0000611_FIDUPREVISORA/</t>
  </si>
  <si>
    <t>Backup Job ID [55584673]  Client: [VCSATRIARA_EXT], Backup Set: [FIDUPREVISORA], Subclient: [FLP0000611]</t>
  </si>
  <si>
    <t>09/30/2025 17:04:39</t>
  </si>
  <si>
    <t>[H_TFM4582_R6_N4_ID003_CENTRONACIONAL_8TB] FLP0000612_FIDUPREVISORA/FLP0000612_FIDUPREVISORA.vmx</t>
  </si>
  <si>
    <t>[H_TFM4582_R6_N4_ID003_CENTRONACIONAL_8TB] FLP0000612_FIDUPREVISORA/</t>
  </si>
  <si>
    <t>Backup Job ID [55593817]  Client: [VCSATRIARA_EXT], Backup Set: [FIDUPREVISORA], Subclient: [FLP0000612]</t>
  </si>
  <si>
    <t>09/30/2025 22:36:42</t>
  </si>
  <si>
    <t>Backup Job ID [55599506]  Client: [VCSATRIARA_EXT], Backup Set: [FIDUPREVISORA], Subclient: [FLP0000616]</t>
  </si>
  <si>
    <t>10/01/2025 02:12:31</t>
  </si>
  <si>
    <t>Backup Job ID [55593801]  Client: [VCSATRIARA_EXT], Backup Set: [FIDUPREVISORA], Subclient: [FLP0000619]</t>
  </si>
  <si>
    <t>09/30/2025 22:51:02</t>
  </si>
  <si>
    <t>[H_TFM4915_R6_MT_ID009_OCTADECACORE_2TB] FLP0000620_FIDUPREVISORA/FLP0000620_FIDUPREVISORA.vmx</t>
  </si>
  <si>
    <t>[H_TFM4915_R6_MT_ID009_OCTADECACORE_2TB] FLP0000620_FIDUPREVISORA/</t>
  </si>
  <si>
    <t>Backup Job ID [55593804]  Client: [VCSATRIARA_EXT], Backup Set: [FIDUPREVISORA], Subclient: [FLP0000620]</t>
  </si>
  <si>
    <t>09/30/2025 23:09:18</t>
  </si>
  <si>
    <t>FLP0000623_FIDUPREVISORA</t>
  </si>
  <si>
    <t>NewPitagoras.fiduprevisora.com.co</t>
  </si>
  <si>
    <t>172.16.0.170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</si>
  <si>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</si>
  <si>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</si>
  <si>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</si>
  <si>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[55600484]  Client: [VCSATRIARA_EXT], Backup Set: [FIDUPREVISORA], Subclient: [FLP0000623]</t>
  </si>
  <si>
    <t>10/01/2025 02:18:12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</si>
  <si>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</si>
  <si>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</si>
  <si>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</si>
  <si>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</si>
  <si>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</si>
  <si>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</si>
  <si>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[H_TFM2117_R10_N1_ID079_OCTADECACORE_3TB] FLP0000624_FIDUPREVISORA/FLP0000624_FIDUPREVISORA.vmx</t>
  </si>
  <si>
    <t>[H_TFM2117_R10_N1_ID079_OCTADECACORE_3TB] FLP0000624_FIDUPREVISORA/</t>
  </si>
  <si>
    <t>Backup Job ID [55600493]  Client: [VCSATRIARA_EXT], Backup Set: [FIDUPREVISORA], Subclient: [FLP0000624]</t>
  </si>
  <si>
    <t>10/01/2025 02:18:07</t>
  </si>
  <si>
    <t>vm-2335606</t>
  </si>
  <si>
    <t>4207341f-2deb-1c2a-956d-856ed899458c</t>
  </si>
  <si>
    <t>50073336-e25f-904d-1ccb-d363bb31aeac</t>
  </si>
  <si>
    <t>Backup Job ID [55593970]  Client: [VCSATRIARA_EXT], Backup Set: [FIDUPREVISORA], Subclient: [FLP0000626]</t>
  </si>
  <si>
    <t>09/30/2025 22:46:47</t>
  </si>
  <si>
    <t>Backup Job ID [55593959]  Client: [VCSATRIARA_EXT], Backup Set: [FIDUPREVISORA], Subclient: [FLP0000627_FIDUPREVISORA]</t>
  </si>
  <si>
    <t>09/30/2025 22:53:37</t>
  </si>
  <si>
    <t>Backup Job ID [55593972]  Client: [VCSATRIARA_EXT], Backup Set: [FIDUPREVISORA], Subclient: [FLP0000628]</t>
  </si>
  <si>
    <t>09/30/2025 22:46:17</t>
  </si>
  <si>
    <t>Backup Job ID [55594071]  Client: [VCSATRIARA_EXT], Backup Set: [FIDUPREVISORA], Subclient: [FLP0000629]</t>
  </si>
  <si>
    <t>09/30/2025 22:51:40</t>
  </si>
  <si>
    <t>Backup Job ID [55594073]  Client: [VCSATRIARA_EXT], Backup Set: [FIDUPREVISORA], Subclient: [FLP0000630]</t>
  </si>
  <si>
    <t>09/30/2025 22:46:39</t>
  </si>
  <si>
    <t>Backup Job ID [55594075]  Client: [VCSATRIARA_EXT], Backup Set: [FIDUPREVISORA], Subclient: [FLP0000631]</t>
  </si>
  <si>
    <t>09/30/2025 22:49:39</t>
  </si>
  <si>
    <t>FLP0000633_FIDUPREVISORA</t>
  </si>
  <si>
    <t>ANSIBLE_FIDU</t>
  </si>
  <si>
    <t>172.16.0.83</t>
  </si>
  <si>
    <t>DPG_CLT314_MGT_PVLAN_1329-1330_OCTADECACORE09</t>
  </si>
  <si>
    <t>DPG_CLT314_SRV_PVLAN_2093-2094_OCTADECACORE09(CLT304)</t>
  </si>
  <si>
    <t>[H_TFM4915_R6_N2_ID277_OCTADECACORE09_4TB] FLP0000633_FIDUPREVISORA/FLP0000633_FIDUPREVISORA.vmx</t>
  </si>
  <si>
    <t>[H_TFM4915_R6_N2_ID277_OCTADECACORE09_4TB] FLP0000633_FIDUPREVISORA/</t>
  </si>
  <si>
    <t>Oracle Linux 8.8 Normalización mediante ASGARD. Actualización 25/08/2025. LG.</t>
  </si>
  <si>
    <t>Backup Job ID [55594096]  Client: [VCSATRIARA_EXT], Backup Set: [FIDUPREVISORA], Subclient: [FLP0000633]</t>
  </si>
  <si>
    <t>09/30/2025 22:44:58</t>
  </si>
  <si>
    <t>Oracle Linux 8 (64-bit)</t>
  </si>
  <si>
    <t>vm-3080071</t>
  </si>
  <si>
    <t>4207c142-2533-6ada-6f34-83ec7d727cf0</t>
  </si>
  <si>
    <t>50076c5b-e766-8029-53f0-0fe519bab4f6</t>
  </si>
  <si>
    <t>Backup Job ID [55600227]  Client: [VCSATRIARA_EXT], Backup Set: [FIDUPREVISORA], Subclient: [FLP0008_FIDUPREVISORA_Rep]</t>
  </si>
  <si>
    <t>10/01/2025 02:17:29</t>
  </si>
  <si>
    <t>Backup Job ID [55597818]  Client: [VCSATRIARA_EXT], Backup Set: [FIDUPREVISORA], Subclient: [FLP0034_FIDUPREVISORA_REV_Rep]</t>
  </si>
  <si>
    <t>10/01/2025 00:36:24</t>
  </si>
  <si>
    <t>Backup Job ID [55584657]  Client: [VCSATRIARA_EXT], Backup Set: [FIDUPREVISORA], Subclient: [FLP0037_FIDUPREVISORA_Rep]</t>
  </si>
  <si>
    <t>09/30/2025 17:02:30</t>
  </si>
  <si>
    <t>Backup Job ID [55597819]  Client: [VCSATRIARA_EXT], Backup Set: [FIDUPREVISORA], Subclient: [FLP0041_FIDUPREVISORA_Rep]</t>
  </si>
  <si>
    <t>10/01/2025 00:37:08</t>
  </si>
  <si>
    <t>Backup Job ID [55597828]  Client: [VCSATRIARA_EXT], Backup Set: [FIDUPREVISORA], Subclient: [FLP0044_FIDUPREVISORA]</t>
  </si>
  <si>
    <t>10/01/2025 00:36:08</t>
  </si>
  <si>
    <t>Backup Job ID [55584659]  Client: [VCSATRIARA_EXT], Backup Set: [FIDUPREVISORA], Subclient: [FLP0060_FIDUPREVISORA_Rep]</t>
  </si>
  <si>
    <t>09/30/2025 17:04:27</t>
  </si>
  <si>
    <t>Backup Job ID [55597820]  Client: [VCSATRIARA_EXT], Backup Set: [FIDUPREVISORA], Subclient: [FLP0062_FIDUPREVISORA_Rep]</t>
  </si>
  <si>
    <t>10/01/2025 00:40:36</t>
  </si>
  <si>
    <t>Backup Job ID [55604184]  Client: [VCSATRIARA_EXT], Backup Set: [FIDUPREVISORA], Subclient: [FLP0063_FIDUPREVISORA]</t>
  </si>
  <si>
    <t>10/01/2025 04:24:35</t>
  </si>
  <si>
    <t>Backup Job ID [55604185]  Client: [VCSATRIARA_EXT], Backup Set: [FIDUPREVISORA], Subclient: [FLP0068_FIDUPREVISORA]</t>
  </si>
  <si>
    <t>10/01/2025 04:07:56</t>
  </si>
  <si>
    <t>vm-3161511</t>
  </si>
  <si>
    <t>Backup Job ID [55597821]  Client: [VCSATRIARA_EXT], Backup Set: [FIDUPREVISORA], Subclient: [FLP0069_FIDUPREVISORA_Rep]</t>
  </si>
  <si>
    <t>10/01/2025 00:36:31</t>
  </si>
  <si>
    <t>Backup Job ID [55602289]  Client: [VCSATRIARA_EXT], Backup Set: [FIDUPREVISORA], Subclient: [FLP0070_FIDUPREVISORA]</t>
  </si>
  <si>
    <t>10/01/2025 03:09:16</t>
  </si>
  <si>
    <t>Backup Job ID [55585865]  Client: [VCSATRIARA_EXT], Backup Set: [FIDUPREVISORA], Subclient: [FLP0071_FIDUPREVISORA]</t>
  </si>
  <si>
    <t>09/30/2025 18:05:13</t>
  </si>
  <si>
    <t>[D_TFM2647_R6_N2_ID024_OCTADECACORE02_4TB] FLP0073_FIDUPREVISORA/FLP0073_FIDUPREVISORA.vmx</t>
  </si>
  <si>
    <t>[D_TFM2647_R6_N2_ID024_OCTADECACORE02_4TB] FLP0073_FIDUPREVISORA/</t>
  </si>
  <si>
    <t>Backup Job ID [55597829]  Client: [VCSATRIARA_EXT], Backup Set: [FIDUPREVISORA], Subclient: [FLP0073]</t>
  </si>
  <si>
    <t>10/01/2025 00:35:56</t>
  </si>
  <si>
    <t>[D_TFM2647_R6_N2_ID024_OCTADECACORE02_4TB] FLP0084_FIDUPREVISORA/FLP0084_FIDUPREVISORA.vmx</t>
  </si>
  <si>
    <t>[D_TFM2647_R6_N2_ID024_OCTADECACORE02_4TB] FLP0084_FIDUPREVISORA/</t>
  </si>
  <si>
    <t>Backup Job ID [55597830]  Client: [VCSATRIARA_EXT], Backup Set: [FIDUPREVISORA], Subclient: [FLP0084]</t>
  </si>
  <si>
    <t>10/01/2025 00:36:12</t>
  </si>
  <si>
    <t>Backup Job ID [55584739]  Client: [VCSATRIARA_EXT], Backup Set: [FIDUPREVISORA], Subclient: [FLP0089_FIDUPREVISORA]</t>
  </si>
  <si>
    <t>09/30/2025 17:03:45</t>
  </si>
  <si>
    <t>Backup Job ID [55597866]  Client: [VCSATRIARA_EXT], Backup Set: [FIDUPREVISORA], Subclient: [FLP0090]</t>
  </si>
  <si>
    <t>10/01/2025 00:37:41</t>
  </si>
  <si>
    <t>Backup Job ID [55584740]  Client: [VCSATRIARA_EXT], Backup Set: [FIDUPREVISORA], Subclient: [FLP0093_FIDUPREVISORA]</t>
  </si>
  <si>
    <t>09/30/2025 17:06:08</t>
  </si>
  <si>
    <t>Backup Job ID [55585866]  Client: [VCSATRIARA_EXT], Backup Set: [FIDUPREVISORA], Subclient: [FLP0096_FIDUPREVISORA_12FEB_REST]</t>
  </si>
  <si>
    <t>09/30/2025 18:08:51</t>
  </si>
  <si>
    <t>Backup Job ID [55584741]  Client: [VCSATRIARA_EXT], Backup Set: [FIDUPREVISORA], Subclient: [FLP0100_FIDUPREVISORA]</t>
  </si>
  <si>
    <t>09/30/2025 17:02:37</t>
  </si>
  <si>
    <t>Backup Job ID [55585867]  Client: [VCSATRIARA_EXT], Backup Set: [FIDUPREVISORA], Subclient: [FLP0105_FIDUPREVISORA]</t>
  </si>
  <si>
    <t>09/30/2025 18:06:36</t>
  </si>
  <si>
    <t>Backup Job ID [55584742]  Client: [VCSATRIARA_EXT], Backup Set: [FIDUPREVISORA], Subclient: [FLP0106_FIDUPREVISORA]</t>
  </si>
  <si>
    <t>09/30/2025 17:05:09</t>
  </si>
  <si>
    <t>Backup Job ID [55585913]  Client: [VCSATRIARA_EXT], Backup Set: [FIDUPREVISORA], Subclient: [FLP0108_FIDUPREVISORA_Rep]</t>
  </si>
  <si>
    <t>09/30/2025 18:05:21</t>
  </si>
  <si>
    <t>100.66.39.77</t>
  </si>
  <si>
    <t>[D_TFM2647_R6_N2_ID004_OCTADECACORE02_4TB] FLP0110_FIDUPREVISORA/FLP0110_FIDUPREVISORA.vmx</t>
  </si>
  <si>
    <t>[D_TFM2647_R6_N2_ID004_OCTADECACORE02_4TB] FLP0110_FIDUPREVISORA/</t>
  </si>
  <si>
    <t>Backup Job ID [55585868]  Client: [VCSATRIARA_EXT], Backup Set: [FIDUPREVISORA], Subclient: [FLP0110_FIDUPREVISORA]</t>
  </si>
  <si>
    <t>09/30/2025 18:08:09</t>
  </si>
  <si>
    <t>[D_TFM2647_R6_N2_ID070_OCTADECACORE02_4TB] FLP0111_FIDUPREVISORA_1/FLP0111_FIDUPREVISORA.vmx</t>
  </si>
  <si>
    <t>[D_TFM2647_R6_N2_ID070_OCTADECACORE02_4TB] FLP0111_FIDUPREVISORA_1/</t>
  </si>
  <si>
    <t>Backup Job ID [55584743]  Client: [VCSATRIARA_EXT], Backup Set: [FIDUPREVISORA], Subclient: [FLP0111_FIDUPREVISORA]</t>
  </si>
  <si>
    <t>09/30/2025 17:09:00</t>
  </si>
  <si>
    <t>c-tfm0005364-faz33-5-sr645.datacenterdhs.local</t>
  </si>
  <si>
    <t>100.66.39.79</t>
  </si>
  <si>
    <t>Backup Job ID [55585870]  Client: [VCSATRIARA_EXT], Backup Set: [FIDUPREVISORA], Subclient: [FLP0112_FIDUPREVISORA]</t>
  </si>
  <si>
    <t>09/30/2025 18:07:51</t>
  </si>
  <si>
    <t>Backup Job ID [55597822]  Client: [VCSATRIARA_EXT], Backup Set: [FIDUPREVISORA], Subclient: [FLP0114_FIDUPREVISORA_Rep]</t>
  </si>
  <si>
    <t>10/01/2025 00:37:49</t>
  </si>
  <si>
    <t>172.16.0.142</t>
  </si>
  <si>
    <t>Backup Job ID [55585871]  Client: [VCSATRIARA_EXT], Backup Set: [FIDUPREVISORA], Subclient: [FLP0118_FIDUPREVISORA]</t>
  </si>
  <si>
    <t>09/30/2025 18:04:40</t>
  </si>
  <si>
    <t>vm-3161542</t>
  </si>
  <si>
    <t>Backup Job ID [55585803]  Client: [VCSATRIARA_EXT], Backup Set: [FIDUPREVISORA], Subclient: [FLP0119_FIDUPREVISORA]</t>
  </si>
  <si>
    <t>09/30/2025 18:22:22</t>
  </si>
  <si>
    <t>Backup Job ID [55585872]  Client: [VCSATRIARA_EXT], Backup Set: [FIDUPREVISORA], Subclient: [FLP0120_FIDUPREVISORA]</t>
  </si>
  <si>
    <t>09/30/2025 18:06:43</t>
  </si>
  <si>
    <t>Backup Job ID [55597831]  Client: [VCSATRIARA_EXT], Backup Set: [FIDUPREVISORA], Subclient: [FLP0121]</t>
  </si>
  <si>
    <t>10/01/2025 00:37:33</t>
  </si>
  <si>
    <t>[D_TFM2647_R6_N2_ID004_OCTADECACORE02_4TB] FLP0127_FIDUPREVISORA_RF1657616/FLP0127_FIDUPREVISORA_RF1657616.vmx</t>
  </si>
  <si>
    <t>[D_TFM2647_R6_N2_ID004_OCTADECACORE02_4TB] FLP0127_FIDUPREVISORA_RF1657616/</t>
  </si>
  <si>
    <t>Backup Job ID [55597832]  Client: [VCSATRIARA_EXT], Backup Set: [FIDUPREVISORA], Subclient: [FLP0129]</t>
  </si>
  <si>
    <t>10/01/2025 00:34:30</t>
  </si>
  <si>
    <t>Backup Job ID [55597772]  Client: [VCSATRIARA_EXT], Backup Set: [FIDUPREVISORA], Subclient: [FLP0133_FIDUPREVISORA]</t>
  </si>
  <si>
    <t>10/01/2025 00:32:50</t>
  </si>
  <si>
    <t>100.66.39.91</t>
  </si>
  <si>
    <t>[D_TFM2647_R6_N2_ID000_OCTADECACORE02_2.59TB] FLP0140_FIDUPREVISORA_Rep/FLP0140_FIDUPREVISORA_Rep.vmx</t>
  </si>
  <si>
    <t>[D_TFM2647_R6_N2_ID000_OCTADECACORE02_2.59TB] FLP0140_FIDUPREVISORA_Rep/</t>
  </si>
  <si>
    <t>Backup Job ID [55597823]  Client: [VCSATRIARA_EXT], Backup Set: [FIDUPREVISORA], Subclient: [FLP0140_FIDUPREVISORA_Rep]</t>
  </si>
  <si>
    <t>10/01/2025 00:35:36</t>
  </si>
  <si>
    <t>Backup Job ID [55602290]  Client: [VCSATRIARA_EXT], Backup Set: [FIDUPREVISORA], Subclient: [FLP0148_FIDUPREVISORA]</t>
  </si>
  <si>
    <t>10/01/2025 03:08:18</t>
  </si>
  <si>
    <t>Backup Job ID [55597824]  Client: [VCSATRIARA_EXT], Backup Set: [FIDUPREVISORA], Subclient: [FLP0149_FIDUPREVISORA_Rep]</t>
  </si>
  <si>
    <t>10/01/2025 00:37:20</t>
  </si>
  <si>
    <t>Backup Job ID [55589298]  Client: [VCSATRIARA_EXT], Backup Set: [FIDUPREVISORA], Subclient: [FLP0158_FIDUPREVISORA_Rep]</t>
  </si>
  <si>
    <t>09/30/2025 20:18:00</t>
  </si>
  <si>
    <t>Backup Job ID [55589304]  Client: [VCSATRIARA_EXT], Backup Set: [FIDUPREVISORA], Subclient: [FLP0159_FIDUPREVISORA]</t>
  </si>
  <si>
    <t>09/30/2025 20:14:45</t>
  </si>
  <si>
    <t>Backup Job ID [55589268]  Client: [VCSATRIARA_EXT], Backup Set: [FIDUPREVISORA], Subclient: [FLP0165_FIDUPREVISORA]</t>
  </si>
  <si>
    <t>09/30/2025 20:19:21</t>
  </si>
  <si>
    <t>Backup Job ID [55587437]  Client: [VCSATRIARA_EXT], Backup Set: [FIDUPREVISORA], Subclient: [FLP0175_FIDUPREVISORA]</t>
  </si>
  <si>
    <t>09/30/2025 19:13:17</t>
  </si>
  <si>
    <t>100.66.39.95</t>
  </si>
  <si>
    <t>DPG_CLT315_PRD_V1095_OCTADECACORE10</t>
  </si>
  <si>
    <t>[D_TFM2647_R6_N2_ID076_OCTADECACORE02_3.08TB_NO_USAR_RETOMAJEP] FLP0208_FIDUPREVISORA_Rep/FLP0208_FIDUPREVISORA_Rep.vmx</t>
  </si>
  <si>
    <t>[D_TFM2647_R6_N2_ID076_OCTADECACORE02_3.08TB_NO_USAR_RETOMAJEP] FLP0208_FIDUPREVISORA_Rep/</t>
  </si>
  <si>
    <t>Backup Job ID [55597825]  Client: [VCSATRIARA_EXT], Backup Set: [FIDUPREVISORA], Subclient: [FLP0208_FIDUPREVISORA_Rep]</t>
  </si>
  <si>
    <t>10/01/2025 00:37:52</t>
  </si>
  <si>
    <t>Backup Job ID [55598579]  Client: [VCSATRIARA_EXT], Backup Set: [FIDUPREVISORA], Subclient: [FLP0209_FIDUPREVISORA]</t>
  </si>
  <si>
    <t>10/01/2025 01:17:43</t>
  </si>
  <si>
    <t>Backup Job ID [55589919]  Client: [vcsareptri-Ort], Backup Set: [FIDUPREVISORA], Subclient: [FLP0231_FIDUPREVISORA]</t>
  </si>
  <si>
    <t>09/30/2025 20:35:54</t>
  </si>
  <si>
    <t>Backup Job ID [55600361]  Client: [VCSATRIARA_EXT], Backup Set: [FIDUPREVISORA], Subclient: [FLP0232_FIDUPREVISORA]</t>
  </si>
  <si>
    <t>10/01/2025 02:22:26</t>
  </si>
  <si>
    <t>Backup Job ID [55587695]  Client: [vcsareptri-Ort], Backup Set: [FIDUPREVISORA], Subclient: [FLP0234_FIDUPREVISORA]</t>
  </si>
  <si>
    <t>09/30/2025 19:14:01</t>
  </si>
  <si>
    <t>Backup Job ID [55587427]  Client: [VCSATRIARA_EXT], Backup Set: [FIDUPREVISORA], Subclient: [FLP0241_FIDUPREVISORA]</t>
  </si>
  <si>
    <t>09/30/2025 19:21:20</t>
  </si>
  <si>
    <t>Backup Job ID [55585841]  Client: [vcsareptri-Ort], Backup Set: [FIDUPREVISORA], Subclient: [FLP0243_FIDUPREVISORA]</t>
  </si>
  <si>
    <t>09/30/2025 18:04:51</t>
  </si>
  <si>
    <t>Backup Job ID [55598629]  Client: [VCSATRIARA_EXT], Backup Set: [FIDUPREVISORA], Subclient: [FLP0245]</t>
  </si>
  <si>
    <t>10/01/2025 01:11:49</t>
  </si>
  <si>
    <t>Backup Job ID [55585886]  Client: [VCSATRIARA_EXT], Backup Set: [FIDUPREVISORA], Subclient: [FLP0276_FIDUPREVISORA]</t>
  </si>
  <si>
    <t>09/30/2025 18:16:30</t>
  </si>
  <si>
    <t>Backup Job ID [55585805]  Client: [VCSAORTEZAL], Backup Set: [FIDUPREVISORA], Subclient: [FLP0277]</t>
  </si>
  <si>
    <t>9/30/2025 6:11:46 PM</t>
  </si>
  <si>
    <t>Backup Job ID [55584761]  Client: [VCSATRIARA_EXT], Backup Set: [FIDUPREVISORA], Subclient: [FLP0373_FIDUPREVISORA_Rep]</t>
  </si>
  <si>
    <t>09/30/2025 17:03:08</t>
  </si>
  <si>
    <t>Backup Job ID [55587611]  Client: [VCSATRIARA_EXT], Backup Set: [FIDUPREVISORA], Subclient: [FLP0375_FIDUPREVISORA]</t>
  </si>
  <si>
    <t>09/30/2025 19:11:43</t>
  </si>
  <si>
    <t>FLP0377_FIDUPREVISORA</t>
  </si>
  <si>
    <t>DPG_CLT304_PRO_V0183_FIDUPREVISORA</t>
  </si>
  <si>
    <t>[H_TFM1772_R6_N2_ID0029_DECACORE002_4TB] FLP0377_FIDUPREVISORA/FLP0377_FIDUPREVISORA.vmx</t>
  </si>
  <si>
    <t>[H_TFM1772_R6_N2_ID0029_DECACORE002_4TB] FLP0377_FIDUPREVISORA/</t>
  </si>
  <si>
    <t>c-tfm4818-aav16-20-sr645.datacenterdhs.local</t>
  </si>
  <si>
    <t>vm-1983</t>
  </si>
  <si>
    <t>4236d847-f328-b6da-5712-f2d9fb8700e8</t>
  </si>
  <si>
    <t>5036d8b9-f05e-972f-2777-8f75f01e5914</t>
  </si>
  <si>
    <t>[H_TFM1765_R6_N4_ID007_OCTADECACORE02_4TB] FLP0378_FIDUPREVISORA/FLP0378_FIDUPREVISORA.vmx</t>
  </si>
  <si>
    <t>[H_TFM1765_R6_N4_ID007_OCTADECACORE02_4TB] FLP0378_FIDUPREVISORA/</t>
  </si>
  <si>
    <t>Backup Job ID [55589899]  Client: [VCSATRIARA_EXT], Backup Set: [FIDUPREVISORA], Subclient: [FLP0378_FIDUPREVISORA]</t>
  </si>
  <si>
    <t>09/30/2025 20:35:00</t>
  </si>
  <si>
    <t>Backup Job ID [55597864]  Client: [VCSATRIARA_EXT], Backup Set: [FIDUPREVISORA], Subclient: [FLP0390_FIDUPREVISORA]</t>
  </si>
  <si>
    <t>10/01/2025 00:34:18</t>
  </si>
  <si>
    <t>Backup Job ID [55597865]  Client: [VCSATRIARA_EXT], Backup Set: [FIDUPREVISORA], Subclient: [FLP0391_FIDUPREVISORA]</t>
  </si>
  <si>
    <t>10/01/2025 00:34:35</t>
  </si>
  <si>
    <t>Backup Job ID [55597834]  Client: [VCSATRIARA_EXT], Backup Set: [FIDUPREVISORA], Subclient: [FLP0393_FIDUPREVISORA]</t>
  </si>
  <si>
    <t>10/01/2025 00:38:51</t>
  </si>
  <si>
    <t>Backup Job ID [55589037]  Client: [VCSATRIARA_EXT], Backup Set: [FIDUPREVISORA], Subclient: [FLP0418_FIDUPREVISORA]</t>
  </si>
  <si>
    <t>09/30/2025 20:07:20</t>
  </si>
  <si>
    <t>Backup Job ID [55602377]  Client: [VCSATRIARA_EXT], Backup Set: [FIDUPREVISORA], Subclient: [FLP0419_FIDUPREVISORA]</t>
  </si>
  <si>
    <t>10/01/2025 03:12:30</t>
  </si>
  <si>
    <t>Backup Job ID [55588433]  Client: [VCSATRIARA_EXT], Backup Set: [FIDUPREVISORA], Subclient: [FLP0478]</t>
  </si>
  <si>
    <t>09/30/2025 19:35:44</t>
  </si>
  <si>
    <t>Backup Job ID [55588432]  Client: [VCSATRIARA_EXT], Backup Set: [FIDUPREVISORA], Subclient: [FLP0479]</t>
  </si>
  <si>
    <t>09/30/2025 19:38:18</t>
  </si>
  <si>
    <t>Backup Job ID [55584785]  Client: [VCSATRIARA_EXT], Backup Set: [FIDUPREVISORA], Subclient: [FLP0480]</t>
  </si>
  <si>
    <t>09/30/2025 17:11:25</t>
  </si>
  <si>
    <t>Backup Job ID [55585941]  Client: [VCSATRIARA_EXT], Backup Set: [FIDUPREVISORA], Subclient: [FLP0481]</t>
  </si>
  <si>
    <t>09/30/2025 18:15:37</t>
  </si>
  <si>
    <t>Backup Job ID [55584786]  Client: [VCSATRIARA_EXT], Backup Set: [FIDUPREVISORA], Subclient: [FLP0482]</t>
  </si>
  <si>
    <t>09/30/2025 17:08:36</t>
  </si>
  <si>
    <t>Backup Job ID [55584787]  Client: [VCSATRIARA_EXT], Backup Set: [FIDUPREVISORA], Subclient: [FLP0484]</t>
  </si>
  <si>
    <t>09/30/2025 17:06:41</t>
  </si>
  <si>
    <t>Backup Job ID [55585942]  Client: [VCSATRIARA_EXT], Backup Set: [FIDUPREVISORA], Subclient: [FLP0485]</t>
  </si>
  <si>
    <t>09/30/2025 18:09:05</t>
  </si>
  <si>
    <t>Backup Job ID [55598494]  Client: [VCSATRIARA_EXT], Backup Set: [FIDUPREVISORA], Subclient: [FLP0486]</t>
  </si>
  <si>
    <t>10/01/2025 01:11:23</t>
  </si>
  <si>
    <t>Backup Job ID [55602483]  Client: [VCSATRIARA_EXT], Backup Set: [FIDUPREVISORA], Subclient: [FLP0487]</t>
  </si>
  <si>
    <t>Backup Job ID [55603783]  Client: [VCSATRIARA_EXT], Backup Set: [FIDUPREVISORA], Subclient: [FLP0488]</t>
  </si>
  <si>
    <t>10/01/2025 04:05:45</t>
  </si>
  <si>
    <t>Backup Job ID [55583581]  Client: [VCSATRIARA_EXT], Backup Set: [FIDUPREVISORA], Subclient: [FLP0489]</t>
  </si>
  <si>
    <t>09/30/2025 16:07:09</t>
  </si>
  <si>
    <t>Backup Job ID [55600326]  Client: [VCSATRIARA_EXT], Backup Set: [FIDUPREVISORA], Subclient: [FLP0490]</t>
  </si>
  <si>
    <t>10/01/2025 02:13:52</t>
  </si>
  <si>
    <t>Backup Job ID [55603173]  Client: [VCSATRIARA_EXT], Backup Set: [FIDUPREVISORA], Subclient: [FLP0491]</t>
  </si>
  <si>
    <t>10/01/2025 03:31:53</t>
  </si>
  <si>
    <t>c-tfm4694-fbd30-37-sr645.datacenterdhs.local</t>
  </si>
  <si>
    <t>Backup Job ID [55598501]  Client: [VCSATRIARA_EXT], Backup Set: [FIDUPREVISORA], Subclient: [FLP0492]</t>
  </si>
  <si>
    <t>10/01/2025 01:05:03</t>
  </si>
  <si>
    <t>c-tfm5116-el07-12-sr645.datacenterdhs.local</t>
  </si>
  <si>
    <t>Backup Job ID [55587237]  Client: [VCSATRIARA_EXT], Backup Set: [FIDUPREVISORA], Subclient: [FLP0493]</t>
  </si>
  <si>
    <t>09/30/2025 19:06:41</t>
  </si>
  <si>
    <t>Backup Job ID [55598502]  Client: [VCSATRIARA_EXT], Backup Set: [FIDUPREVISORA], Subclient: [FLP0494]</t>
  </si>
  <si>
    <t>10/01/2025 01:03:54</t>
  </si>
  <si>
    <t>Backup Job ID [55600338]  Client: [VCSATRIARA_EXT], Backup Set: [FIDUPREVISORA], Subclient: [FLP0496]</t>
  </si>
  <si>
    <t>10/01/2025 02:15:29</t>
  </si>
  <si>
    <t>Backup Job ID [55596890]  Client: [VCSATRIARA_EXT], Backup Set: [FIDUPREVISORA], Subclient: [FLP0497]</t>
  </si>
  <si>
    <t>10/01/2025 00:12:00</t>
  </si>
  <si>
    <t>Backup Job ID [55596972]  Client: [VCSATRIARA_EXT], Backup Set: [FIDUPREVISORA], Subclient: [FLP0498]</t>
  </si>
  <si>
    <t>10/01/2025 00:11:00</t>
  </si>
  <si>
    <t>Backup Job ID [55595222]  Client: [VCSATRIARA_EXT], Backup Set: [FIDUPREVISORA], Subclient: [FLP0499]</t>
  </si>
  <si>
    <t>09/30/2025 23:07:23</t>
  </si>
  <si>
    <t>Backup Job ID [55596973]  Client: [VCSATRIARA_EXT], Backup Set: [FIDUPREVISORA], Subclient: [FLP0501]</t>
  </si>
  <si>
    <t>Backup Job ID [55591981]  Client: [VCSATRIARA_EXT], Backup Set: [FIDUPREVISORA], Subclient: [FLP0520]</t>
  </si>
  <si>
    <t>09/30/2025 21:33:36</t>
  </si>
  <si>
    <t>[H_TFM4944_R6_N1_ID048_REPLICACION_4TB_ALIAR] FLP0000557_FIDUPREVISORA-ed11a398-phVm/FLP0000557_FIDUPREVISORA-ed11a398-phVm.vmx</t>
  </si>
  <si>
    <t>[H_TFM4944_R6_N1_ID048_REPLICACION_4TB_ALIAR] FLP0000557_FIDUPREVISORA-ed11a398-phVm/</t>
  </si>
  <si>
    <t>423c9fca-ffb9-205d-7624-e6e925d722d6</t>
  </si>
  <si>
    <t>503ceb58-6e57-b9c5-21c3-cb5908edad23</t>
  </si>
  <si>
    <t>[H_TFM4944_R6_N1_ID048_REPLICACION_4TB_ALIAR] FLP0008_FIDUPREVISORA_Rep-2e96e314-phVm/FLP0008_FIDUPREVISORA_Rep-2e96e314-phVm.vmx</t>
  </si>
  <si>
    <t>[H_TFM4944_R6_N1_ID048_REPLICACION_4TB_ALIAR] FLP0008_FIDUPREVISORA_Rep-2e96e314-phVm/</t>
  </si>
  <si>
    <t>423c4185-4c82-f1ae-9cc3-e333d24ab55b</t>
  </si>
  <si>
    <t>503c60d6-4af3-b7a2-13fd-e6d2db985f18</t>
  </si>
  <si>
    <t>c-tfm4537-2f06-16-sr645.datacenterdhs.local</t>
  </si>
  <si>
    <t>[H_TFM4944_R6_N1_ID048_REPLICACION_4TB_ALIAR] FLP0069_FIDUPREVISORA_Rep/FLP0069_FIDUPREVISORA_Rep.vmx</t>
  </si>
  <si>
    <t>[H_TFM4944_R6_N1_ID048_REPLICACION_4TB_ALIAR] FLP0069_FIDUPREVISORA_Rep/</t>
  </si>
  <si>
    <t>vm-155469</t>
  </si>
  <si>
    <t>423cb5d0-c6ba-cfc8-79b8-feeb4a80f3b0</t>
  </si>
  <si>
    <t>503c773a-47a5-7684-9e36-9f42dce402fa</t>
  </si>
  <si>
    <t>/VDC001_MGC_CENTRALIZADO/FCL003_COMPARTIDOS/CLT303_MGC_COM_QUADOCTACORE/Resources</t>
  </si>
  <si>
    <t>[H_TFM4944_R6_N1_ID048_REPLICACION_4TB_ALIAR] FLP0158_FIDUPREVISORA_Rep/FLP0158_FIDUPREVISORA_Rep.vmx</t>
  </si>
  <si>
    <t>[H_TFM4944_R6_N1_ID048_REPLICACION_4TB_ALIAR] FLP0158_FIDUPREVISORA_Rep/</t>
  </si>
  <si>
    <t>vm-155471</t>
  </si>
  <si>
    <t>423c0d96-defd-e20d-6d45-3d2cd6d0d984</t>
  </si>
  <si>
    <t>503c6add-035c-b906-737a-ea514b999628</t>
  </si>
  <si>
    <t>[H_TFM4944_R6_N1_ID048_REPLICACION_4TB_ALIAR] FLP0208_FIDUPREVISORA_Rep-6df1339c-phVm/FLP0208_FIDUPREVISORA_Rep-6df1339c-phVm.vmx</t>
  </si>
  <si>
    <t>[H_TFM4944_R6_N1_ID048_REPLICACION_4TB_ALIAR] FLP0208_FIDUPREVISORA_Rep-6df1339c-phVm/</t>
  </si>
  <si>
    <t>vm-167400</t>
  </si>
  <si>
    <t>423cddb3-1e39-4f7a-7eb0-d1bb7c49fcf1</t>
  </si>
  <si>
    <t>503c486c-0c28-34f8-4ccd-2e750a175cd2</t>
  </si>
  <si>
    <t>[H_TFM4944_R6_N1_ID048_REPLICACION_4TB_ALIAR] FLP0373_FIDUPREVISORA_Rep/FLP0373_FIDUPREVISORA_Rep.vmx</t>
  </si>
  <si>
    <t>[H_TFM4944_R6_N1_ID048_REPLICACION_4TB_ALIAR] FLP0373_FIDUPREVISORA_Rep/</t>
  </si>
  <si>
    <t>vm-155470</t>
  </si>
  <si>
    <t>423ce0ff-e84d-efaa-14fe-24cdbbbc6caf</t>
  </si>
  <si>
    <t>503cc5e5-6d5d-129a-e0d4-d8c7a7431739</t>
  </si>
  <si>
    <t>[H_TFM4944_R6_N1_ID048_REPLICACION_4TB_ALIAR] FLP0419_FIDUPREVISORA_Rep-b52d5edc-phVm/FLP0419_FIDUPREVISORA_Rep-b52d5edc-phVm.vmx</t>
  </si>
  <si>
    <t>[H_TFM4944_R6_N1_ID048_REPLICACION_4TB_ALIAR] FLP0419_FIDUPREVISORA_Rep-b52d5edc-phVm/</t>
  </si>
  <si>
    <t>423cc8f7-71f3-0522-12a8-2f9f86911871</t>
  </si>
  <si>
    <t>503c17f4-17af-0005-7b3d-10bf9d0d06d5</t>
  </si>
  <si>
    <t>[H_TFM4944_R6_N1_ID048_REPLICACION_4TB_ALIAR] FLP0480_FIDUPREVISORA_Rep-9c9d821f-phVm/FLP0480_FIDUPREVISORA_Rep-9c9d821f-phVm.vmx</t>
  </si>
  <si>
    <t>[H_TFM4944_R6_N1_ID048_REPLICACION_4TB_ALIAR] FLP0480_FIDUPREVISORA_Rep-9c9d821f-phVm/</t>
  </si>
  <si>
    <t>423cf692-170e-dca1-7727-4f94b695bf42</t>
  </si>
  <si>
    <t>503cecec-9459-05c7-76c5-d569b18e851f</t>
  </si>
  <si>
    <t>[H_TFM4944_R6_N1_ID048_REPLICACION_4TB_ALIAR] FLP0481_FIDUPREVISORA_Rep/FLP0481_FIDUPREVISORA_Rep.vmx</t>
  </si>
  <si>
    <t>[H_TFM4944_R6_N1_ID048_REPLICACION_4TB_ALIAR] FLP0481_FIDUPREVISORA_Rep/</t>
  </si>
  <si>
    <t>[H_TFM4944_R6_N1_ID048_REPLICACION_4TB_ALIAR] FLP0482_FIDUPREVISORA-39369faa-phVm/FLP0482_FIDUPREVISORA-39369faa-phVm.vmx</t>
  </si>
  <si>
    <t>[H_TFM4944_R6_N1_ID048_REPLICACION_4TB_ALIAR] FLP0482_FIDUPREVISORA-39369faa-phVm/</t>
  </si>
  <si>
    <t>vm-177250</t>
  </si>
  <si>
    <t>423c68e0-2fe7-fa57-3df3-c436f1bb35ab</t>
  </si>
  <si>
    <t>503cd626-ddc2-c984-68a4-b49aee0adffc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</si>
</sst>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hh:mm:ss"/>
    <numFmt numFmtId="165" formatCode="0.0"/>
    <numFmt numFmtId="166" formatCode="yyyy\-mm\-dd\ hh:mm:ss"/>
  </numFmts>
  <fonts count="26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 (Cuerpo)"/>
    </font>
    <font>
      <sz val="12"/>
      <color rgb="FF000000"/>
      <name val="Calibri"/>
      <family val="2"/>
    </font>
    <font>
      <u/>
      <sz val="12"/>
      <color rgb="FF000000"/>
      <name val="Calibri"/>
      <family val="2"/>
    </font>
    <font>
      <u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2"/>
      <color rgb="FF000000"/>
      <name val="Calibri (Cuerpo)"/>
    </font>
    <font>
      <b/>
      <u/>
      <sz val="12"/>
      <color rgb="FF000000"/>
      <name val="Calibri"/>
      <family val="2"/>
    </font>
    <font>
      <sz val="12"/>
      <name val="Calibri (Cuerpo)"/>
    </font>
    <font>
      <b/>
      <u/>
      <sz val="12"/>
      <name val="Aptos Narrow"/>
      <family val="2"/>
      <scheme val="minor"/>
    </font>
    <font>
      <b/>
      <sz val="12"/>
      <color rgb="FF000000"/>
      <name val="Calibri (Cuerpo)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1"/>
      <color theme="0"/>
      <name val="Calibri"/>
      <family val="2"/>
    </font>
    <font>
      <sz val="9"/>
      <color indexed="81"/>
      <name val="Tahoma"/>
      <family val="2"/>
    </font>
    <font>
      <b/>
      <sz val="9"/>
      <color theme="0"/>
      <name val="Verdana"/>
      <family val="2"/>
    </font>
    <font>
      <u/>
      <sz val="12"/>
      <color rgb="FF000000"/>
      <name val="Calibri (Cuerpo)"/>
    </font>
    <font>
      <u/>
      <sz val="1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0" fillId="2" borderId="0" xfId="0" applyFill="1"/>
    <xf numFmtId="3" fontId="0" fillId="0" borderId="0" xfId="0" applyNumberFormat="1"/>
    <xf numFmtId="3" fontId="0" fillId="2" borderId="0" xfId="0" applyNumberFormat="1" applyFill="1"/>
    <xf numFmtId="0" fontId="4" fillId="6" borderId="3" xfId="0" applyFont="1" applyFill="1" applyBorder="1"/>
    <xf numFmtId="0" fontId="7" fillId="6" borderId="3" xfId="0" applyFont="1" applyFill="1" applyBorder="1"/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7" borderId="0" xfId="0" applyFont="1" applyFill="1"/>
    <xf numFmtId="0" fontId="4" fillId="6" borderId="4" xfId="0" applyFont="1" applyFill="1" applyBorder="1" applyAlignment="1">
      <alignment horizontal="center"/>
    </xf>
    <xf numFmtId="0" fontId="6" fillId="7" borderId="3" xfId="0" applyFont="1" applyFill="1" applyBorder="1"/>
    <xf numFmtId="0" fontId="7" fillId="7" borderId="4" xfId="0" applyFont="1" applyFill="1" applyBorder="1" applyAlignment="1">
      <alignment horizontal="center"/>
    </xf>
    <xf numFmtId="3" fontId="7" fillId="6" borderId="4" xfId="0" applyNumberFormat="1" applyFont="1" applyFill="1" applyBorder="1" applyAlignment="1">
      <alignment horizontal="center"/>
    </xf>
    <xf numFmtId="0" fontId="7" fillId="7" borderId="3" xfId="0" applyFont="1" applyFill="1" applyBorder="1"/>
    <xf numFmtId="0" fontId="7" fillId="6" borderId="4" xfId="0" applyFont="1" applyFill="1" applyBorder="1" applyAlignment="1">
      <alignment horizontal="center"/>
    </xf>
    <xf numFmtId="0" fontId="8" fillId="7" borderId="3" xfId="0" applyFont="1" applyFill="1" applyBorder="1"/>
    <xf numFmtId="165" fontId="10" fillId="7" borderId="5" xfId="0" applyNumberFormat="1" applyFont="1" applyFill="1" applyBorder="1" applyAlignment="1">
      <alignment horizontal="center" vertical="center"/>
    </xf>
    <xf numFmtId="10" fontId="3" fillId="7" borderId="5" xfId="1" applyNumberFormat="1" applyFont="1" applyFill="1" applyBorder="1" applyAlignment="1">
      <alignment horizontal="center" vertic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8" fillId="4" borderId="3" xfId="0" applyFont="1" applyFill="1" applyBorder="1"/>
    <xf numFmtId="1" fontId="7" fillId="6" borderId="4" xfId="0" applyNumberFormat="1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13" fillId="4" borderId="3" xfId="0" applyFont="1" applyFill="1" applyBorder="1"/>
    <xf numFmtId="49" fontId="1" fillId="7" borderId="0" xfId="0" applyNumberFormat="1" applyFont="1" applyFill="1" applyAlignment="1">
      <alignment horizontal="left"/>
    </xf>
    <xf numFmtId="3" fontId="13" fillId="5" borderId="4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165" fontId="3" fillId="7" borderId="5" xfId="0" applyNumberFormat="1" applyFont="1" applyFill="1" applyBorder="1" applyAlignment="1">
      <alignment horizontal="center" vertical="center"/>
    </xf>
    <xf numFmtId="165" fontId="6" fillId="7" borderId="3" xfId="0" applyNumberFormat="1" applyFont="1" applyFill="1" applyBorder="1" applyAlignment="1">
      <alignment horizontal="center"/>
    </xf>
    <xf numFmtId="165" fontId="9" fillId="7" borderId="5" xfId="0" applyNumberFormat="1" applyFont="1" applyFill="1" applyBorder="1" applyAlignment="1">
      <alignment horizontal="center" vertical="center"/>
    </xf>
    <xf numFmtId="0" fontId="14" fillId="7" borderId="3" xfId="0" applyFont="1" applyFill="1" applyBorder="1"/>
    <xf numFmtId="0" fontId="12" fillId="8" borderId="3" xfId="0" applyFont="1" applyFill="1" applyBorder="1"/>
    <xf numFmtId="165" fontId="15" fillId="8" borderId="4" xfId="0" applyNumberFormat="1" applyFont="1" applyFill="1" applyBorder="1" applyAlignment="1">
      <alignment horizontal="center" vertical="center"/>
    </xf>
    <xf numFmtId="165" fontId="6" fillId="7" borderId="4" xfId="0" applyNumberFormat="1" applyFont="1" applyFill="1" applyBorder="1" applyAlignment="1">
      <alignment horizontal="center"/>
    </xf>
    <xf numFmtId="165" fontId="16" fillId="8" borderId="4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66" fontId="0" fillId="0" borderId="0" xfId="0" applyNumberFormat="1"/>
    <xf numFmtId="0" fontId="11" fillId="0" borderId="0" xfId="0" applyFont="1" applyAlignment="1">
      <alignment horizontal="center"/>
    </xf>
    <xf numFmtId="0" fontId="17" fillId="0" borderId="0" xfId="0" applyFont="1"/>
    <xf numFmtId="166" fontId="17" fillId="0" borderId="0" xfId="0" applyNumberFormat="1" applyFont="1"/>
    <xf numFmtId="0" fontId="18" fillId="0" borderId="0" xfId="0" applyFont="1" applyAlignment="1">
      <alignment horizontal="center"/>
    </xf>
    <xf numFmtId="0" fontId="20" fillId="0" borderId="0" xfId="0" applyFont="1"/>
    <xf numFmtId="0" fontId="21" fillId="9" borderId="5" xfId="0" applyFont="1" applyFill="1" applyBorder="1" applyAlignment="1">
      <alignment horizontal="center" vertical="top"/>
    </xf>
    <xf numFmtId="0" fontId="19" fillId="9" borderId="0" xfId="0" applyFont="1" applyFill="1"/>
    <xf numFmtId="0" fontId="0" fillId="10" borderId="0" xfId="0" applyFill="1"/>
    <xf numFmtId="166" fontId="0" fillId="10" borderId="0" xfId="0" applyNumberFormat="1" applyFill="1"/>
    <xf numFmtId="49" fontId="23" fillId="11" borderId="0" xfId="0" applyNumberFormat="1" applyFont="1" applyFill="1" applyAlignment="1">
      <alignment horizontal="left"/>
    </xf>
    <xf numFmtId="164" fontId="23" fillId="11" borderId="0" xfId="0" applyNumberFormat="1" applyFont="1" applyFill="1" applyAlignment="1">
      <alignment horizontal="left"/>
    </xf>
    <xf numFmtId="3" fontId="23" fillId="11" borderId="0" xfId="0" applyNumberFormat="1" applyFont="1" applyFill="1" applyAlignment="1">
      <alignment horizontal="left"/>
    </xf>
    <xf numFmtId="0" fontId="23" fillId="11" borderId="0" xfId="0" applyFont="1" applyFill="1"/>
    <xf numFmtId="0" fontId="11" fillId="2" borderId="0" xfId="0" applyFont="1" applyFill="1" applyAlignment="1">
      <alignment horizontal="center"/>
    </xf>
    <xf numFmtId="0" fontId="24" fillId="7" borderId="3" xfId="0" applyFont="1" applyFill="1" applyBorder="1"/>
    <xf numFmtId="165" fontId="25" fillId="7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 2" xfId="1" xr:uid="{782F3F61-10D9-49DA-A4EA-A6DF188685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590550</xdr:colOff>
      <xdr:row>14</xdr:row>
      <xdr:rowOff>142953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E13C164-2930-4D70-ADF1-98AEED0B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924550" cy="28099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6</xdr:col>
      <xdr:colOff>247048</xdr:colOff>
      <xdr:row>19</xdr:row>
      <xdr:rowOff>171333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1B9FA3-704B-4232-8C47-AA17952A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500"/>
          <a:ext cx="4819048" cy="9333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grith Johana Sandoval Bermudez" id="{87D4B8C1-F17E-4061-B1D5-C0D47FA71237}" userId="S::46115358@claro.com.co::1b5e1c3b-d76d-4b8a-9abd-07b3a5bbece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7" dT="2025-10-16T21:26:32.32" personId="{87D4B8C1-F17E-4061-B1D5-C0D47FA71237}" id="{1E22A04A-F4C1-4FA9-9BAD-4CF8FD4BADFF}">
    <text xml:space="preserve">Pendiente eliminar por cambio de SO OT22343030 </text>
  </threadedComment>
  <threadedComment ref="A49" dT="2025-10-16T21:26:53.95" personId="{87D4B8C1-F17E-4061-B1D5-C0D47FA71237}" id="{CC127C75-9E1E-4E9C-98A3-D4B4650D57A1}">
    <text xml:space="preserve">Pendiente eliminar por cambio de SO OT22343114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0EB6-C63C-4E45-8378-7A9492A52A20}">
  <dimension ref="B1:F26"/>
  <sheetViews>
    <sheetView tabSelected="1" zoomScale="85" zoomScaleNormal="85" workbookViewId="0">
      <selection activeCell="I20" sqref="I20"/>
    </sheetView>
  </sheetViews>
  <sheetFormatPr baseColWidth="10" defaultColWidth="11.42578125" defaultRowHeight="15.75"/>
  <cols>
    <col min="1" max="1" width="4" style="12" customWidth="1"/>
    <col min="2" max="2" width="90.140625" style="12" customWidth="1"/>
    <col min="3" max="3" width="16.140625" style="12" customWidth="1"/>
    <col min="4" max="4" width="14.28515625" style="12" customWidth="1"/>
    <col min="5" max="5" width="16.5703125" style="12" customWidth="1"/>
    <col min="6" max="6" width="22.42578125" style="12" bestFit="1" customWidth="1"/>
    <col min="7" max="7" width="3.42578125" style="12" customWidth="1"/>
    <col min="8" max="8" width="11.42578125" style="12"/>
    <col min="9" max="9" width="11.42578125" style="12" customWidth="1"/>
    <col min="10" max="16384" width="11.42578125" style="12"/>
  </cols>
  <sheetData>
    <row r="1" spans="2:6">
      <c r="B1" s="10"/>
      <c r="C1" s="10"/>
      <c r="D1" s="11"/>
      <c r="E1" s="11"/>
      <c r="F1" s="11"/>
    </row>
    <row r="2" spans="2:6">
      <c r="B2" s="39" t="s">
        <v>1389</v>
      </c>
      <c r="C2" s="40"/>
      <c r="D2" s="40"/>
      <c r="E2" s="40"/>
      <c r="F2" s="40"/>
    </row>
    <row r="3" spans="2:6">
      <c r="B3" s="8" t="s">
        <v>1259</v>
      </c>
      <c r="C3" s="13" t="s">
        <v>1270</v>
      </c>
      <c r="D3" s="13" t="s">
        <v>1260</v>
      </c>
      <c r="E3" s="13" t="s">
        <v>1261</v>
      </c>
      <c r="F3" s="13" t="s">
        <v>1262</v>
      </c>
    </row>
    <row r="4" spans="2:6">
      <c r="B4" s="14" t="s">
        <v>1263</v>
      </c>
      <c r="C4" s="15">
        <v>160</v>
      </c>
      <c r="D4" s="15">
        <v>800</v>
      </c>
      <c r="E4" s="15">
        <v>1880</v>
      </c>
      <c r="F4" s="15">
        <v>390</v>
      </c>
    </row>
    <row r="5" spans="2:6">
      <c r="B5" s="14" t="s">
        <v>1264</v>
      </c>
      <c r="C5" s="31">
        <f>+C4*5%</f>
        <v>8</v>
      </c>
      <c r="D5" s="31">
        <f>+D4*5%</f>
        <v>40</v>
      </c>
      <c r="E5" s="31">
        <f t="shared" ref="E5:F5" si="0">+E4*5%</f>
        <v>94</v>
      </c>
      <c r="F5" s="31">
        <f t="shared" si="0"/>
        <v>19.5</v>
      </c>
    </row>
    <row r="6" spans="2:6">
      <c r="B6" s="56" t="s">
        <v>1388</v>
      </c>
      <c r="C6" s="33">
        <f>+C4+C5</f>
        <v>168</v>
      </c>
      <c r="D6" s="33">
        <f>+D4+D5</f>
        <v>840</v>
      </c>
      <c r="E6" s="33">
        <f>+E4+E5</f>
        <v>1974</v>
      </c>
      <c r="F6" s="33">
        <f>+F4+F5</f>
        <v>409.5</v>
      </c>
    </row>
    <row r="7" spans="2:6">
      <c r="B7" s="34" t="s">
        <v>1369</v>
      </c>
      <c r="C7" s="57">
        <f>+C6*5%</f>
        <v>8.4</v>
      </c>
      <c r="D7" s="57">
        <f t="shared" ref="D7:F7" si="1">+D6*5%</f>
        <v>42</v>
      </c>
      <c r="E7" s="57">
        <f t="shared" si="1"/>
        <v>98.7</v>
      </c>
      <c r="F7" s="57">
        <f t="shared" si="1"/>
        <v>20.475000000000001</v>
      </c>
    </row>
    <row r="8" spans="2:6">
      <c r="B8" s="35" t="s">
        <v>1387</v>
      </c>
      <c r="C8" s="36">
        <f>C6+C7</f>
        <v>176.4</v>
      </c>
      <c r="D8" s="36">
        <f t="shared" ref="D8:F8" si="2">D6+D7</f>
        <v>882</v>
      </c>
      <c r="E8" s="36">
        <f t="shared" si="2"/>
        <v>2072.6999999999998</v>
      </c>
      <c r="F8" s="36">
        <f t="shared" si="2"/>
        <v>429.97500000000002</v>
      </c>
    </row>
    <row r="9" spans="2:6" hidden="1">
      <c r="B9" s="9" t="s">
        <v>1368</v>
      </c>
      <c r="C9" s="16">
        <v>140</v>
      </c>
      <c r="D9" s="16">
        <v>736</v>
      </c>
      <c r="E9" s="16">
        <v>2106</v>
      </c>
      <c r="F9" s="16">
        <v>292</v>
      </c>
    </row>
    <row r="10" spans="2:6" hidden="1">
      <c r="B10" s="17" t="s">
        <v>1266</v>
      </c>
      <c r="C10" s="18"/>
      <c r="D10" s="18"/>
      <c r="E10" s="18"/>
      <c r="F10" s="18">
        <v>0</v>
      </c>
    </row>
    <row r="11" spans="2:6">
      <c r="B11" s="27" t="s">
        <v>1477</v>
      </c>
      <c r="C11" s="29">
        <v>140</v>
      </c>
      <c r="D11" s="29">
        <v>712</v>
      </c>
      <c r="E11" s="29">
        <v>1946</v>
      </c>
      <c r="F11" s="29">
        <v>304</v>
      </c>
    </row>
    <row r="12" spans="2:6">
      <c r="B12" s="9" t="s">
        <v>1268</v>
      </c>
      <c r="C12" s="20">
        <f>C8-C11</f>
        <v>36.400000000000006</v>
      </c>
      <c r="D12" s="20">
        <f>D8-D11</f>
        <v>170</v>
      </c>
      <c r="E12" s="20">
        <f>E8-E11</f>
        <v>126.69999999999982</v>
      </c>
      <c r="F12" s="20">
        <f>F8-F11</f>
        <v>125.97500000000002</v>
      </c>
    </row>
    <row r="13" spans="2:6">
      <c r="B13" s="19" t="s">
        <v>1269</v>
      </c>
      <c r="C13" s="21">
        <f>C11/C6</f>
        <v>0.83333333333333337</v>
      </c>
      <c r="D13" s="21">
        <f>D11/D6</f>
        <v>0.84761904761904761</v>
      </c>
      <c r="E13" s="21">
        <f>E11/E6</f>
        <v>0.98581560283687941</v>
      </c>
      <c r="F13" s="21">
        <f>F11/F6</f>
        <v>0.7423687423687424</v>
      </c>
    </row>
    <row r="14" spans="2:6">
      <c r="B14" s="22"/>
      <c r="C14" s="22"/>
      <c r="D14" s="23"/>
      <c r="E14" s="11"/>
      <c r="F14" s="11"/>
    </row>
    <row r="15" spans="2:6">
      <c r="B15" s="39" t="s">
        <v>1390</v>
      </c>
      <c r="C15" s="40"/>
      <c r="D15" s="40"/>
      <c r="E15" s="40"/>
      <c r="F15" s="40"/>
    </row>
    <row r="16" spans="2:6">
      <c r="B16" s="8" t="s">
        <v>1259</v>
      </c>
      <c r="C16" s="13" t="s">
        <v>1270</v>
      </c>
      <c r="D16" s="13" t="s">
        <v>1260</v>
      </c>
      <c r="E16" s="13" t="s">
        <v>1261</v>
      </c>
      <c r="F16" s="13" t="s">
        <v>1262</v>
      </c>
    </row>
    <row r="17" spans="2:6">
      <c r="B17" s="14" t="s">
        <v>1263</v>
      </c>
      <c r="C17" s="26">
        <v>30</v>
      </c>
      <c r="D17" s="15">
        <v>120</v>
      </c>
      <c r="E17" s="15">
        <v>270</v>
      </c>
      <c r="F17" s="15">
        <v>30</v>
      </c>
    </row>
    <row r="18" spans="2:6">
      <c r="B18" s="14" t="s">
        <v>1264</v>
      </c>
      <c r="C18" s="31">
        <f>+C17*5%</f>
        <v>1.5</v>
      </c>
      <c r="D18" s="31">
        <f>+D17*5%</f>
        <v>6</v>
      </c>
      <c r="E18" s="31">
        <f t="shared" ref="E18:F18" si="3">+E17*5%</f>
        <v>13.5</v>
      </c>
      <c r="F18" s="31">
        <f t="shared" si="3"/>
        <v>1.5</v>
      </c>
    </row>
    <row r="19" spans="2:6">
      <c r="B19" s="56" t="s">
        <v>1370</v>
      </c>
      <c r="C19" s="32">
        <f>C17+C18</f>
        <v>31.5</v>
      </c>
      <c r="D19" s="33">
        <f>+D17+D18</f>
        <v>126</v>
      </c>
      <c r="E19" s="33">
        <f t="shared" ref="E19:F19" si="4">+E17+E18</f>
        <v>283.5</v>
      </c>
      <c r="F19" s="33">
        <f t="shared" si="4"/>
        <v>31.5</v>
      </c>
    </row>
    <row r="20" spans="2:6">
      <c r="B20" s="34" t="s">
        <v>1369</v>
      </c>
      <c r="C20" s="37">
        <f>+C19*5%</f>
        <v>1.5750000000000002</v>
      </c>
      <c r="D20" s="37">
        <f t="shared" ref="D20:F20" si="5">+D19*5%</f>
        <v>6.3000000000000007</v>
      </c>
      <c r="E20" s="37">
        <f t="shared" si="5"/>
        <v>14.175000000000001</v>
      </c>
      <c r="F20" s="37">
        <f t="shared" si="5"/>
        <v>1.5750000000000002</v>
      </c>
    </row>
    <row r="21" spans="2:6">
      <c r="B21" s="35" t="s">
        <v>1371</v>
      </c>
      <c r="C21" s="38">
        <f>C19+C20</f>
        <v>33.075000000000003</v>
      </c>
      <c r="D21" s="38">
        <f t="shared" ref="D21:F21" si="6">D19+D20</f>
        <v>132.30000000000001</v>
      </c>
      <c r="E21" s="38">
        <f t="shared" si="6"/>
        <v>297.67500000000001</v>
      </c>
      <c r="F21" s="38">
        <f t="shared" si="6"/>
        <v>33.075000000000003</v>
      </c>
    </row>
    <row r="22" spans="2:6" hidden="1">
      <c r="B22" s="9" t="s">
        <v>1265</v>
      </c>
      <c r="C22" s="18">
        <v>16</v>
      </c>
      <c r="D22" s="16">
        <v>68</v>
      </c>
      <c r="E22" s="16">
        <v>192</v>
      </c>
      <c r="F22" s="25">
        <v>22</v>
      </c>
    </row>
    <row r="23" spans="2:6" hidden="1">
      <c r="B23" s="17" t="s">
        <v>1266</v>
      </c>
      <c r="C23" s="15"/>
      <c r="D23" s="18"/>
      <c r="E23" s="18"/>
      <c r="F23" s="18"/>
    </row>
    <row r="24" spans="2:6">
      <c r="B24" s="24" t="s">
        <v>1267</v>
      </c>
      <c r="C24" s="30">
        <f>C22+C23</f>
        <v>16</v>
      </c>
      <c r="D24" s="29">
        <f>D22+D23</f>
        <v>68</v>
      </c>
      <c r="E24" s="29">
        <f>E22+E23</f>
        <v>192</v>
      </c>
      <c r="F24" s="29">
        <v>22.27</v>
      </c>
    </row>
    <row r="25" spans="2:6">
      <c r="B25" s="9" t="s">
        <v>1268</v>
      </c>
      <c r="C25" s="20">
        <f>C21-C24</f>
        <v>17.075000000000003</v>
      </c>
      <c r="D25" s="20">
        <f>D21-D24</f>
        <v>64.300000000000011</v>
      </c>
      <c r="E25" s="20">
        <f>E21-E24</f>
        <v>105.67500000000001</v>
      </c>
      <c r="F25" s="20">
        <f>F21-F24</f>
        <v>10.805000000000003</v>
      </c>
    </row>
    <row r="26" spans="2:6">
      <c r="B26" s="9" t="s">
        <v>1269</v>
      </c>
      <c r="C26" s="21">
        <f>C24/C19</f>
        <v>0.50793650793650791</v>
      </c>
      <c r="D26" s="21">
        <f>D24/D19</f>
        <v>0.53968253968253965</v>
      </c>
      <c r="E26" s="21">
        <f>E24/E19</f>
        <v>0.67724867724867721</v>
      </c>
      <c r="F26" s="21">
        <f>F24/F19</f>
        <v>0.70698412698412694</v>
      </c>
    </row>
  </sheetData>
  <mergeCells count="2">
    <mergeCell ref="B2:F2"/>
    <mergeCell ref="B15:F15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AD82101-B455-491A-96B0-07131A529799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C13:F13</xm:sqref>
        </x14:conditionalFormatting>
        <x14:conditionalFormatting xmlns:xm="http://schemas.microsoft.com/office/excel/2006/main">
          <x14:cfRule type="iconSet" priority="1" id="{9A267D4D-BBC2-44BD-9FF7-2631B768C75F}">
            <x14:iconSet custom="1">
              <x14:cfvo type="percent">
                <xm:f>0</xm:f>
              </x14:cfvo>
              <x14:cfvo type="percent">
                <xm:f>0.75</xm:f>
              </x14:cfvo>
              <x14:cfvo type="num">
                <xm:f>0.9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C26:F26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19E4-6D28-4A0D-B00D-E1542A5E3B5A}">
  <dimension ref="A1:DB146"/>
  <sheetViews>
    <sheetView topLeftCell="M1" workbookViewId="0">
      <pane ySplit="1" topLeftCell="A135" activePane="bottomLeft" state="frozen"/>
      <selection activeCell="K1" sqref="K1"/>
      <selection pane="bottomLeft" activeCell="W146" sqref="W146"/>
    </sheetView>
  </sheetViews>
  <sheetFormatPr baseColWidth="10" defaultColWidth="9.140625" defaultRowHeight="15"/>
  <cols>
    <col min="1" max="1" width="39.140625" bestFit="1" customWidth="1"/>
    <col min="2" max="2" width="19.28515625" customWidth="1"/>
    <col min="3" max="4" width="9.5703125" bestFit="1" customWidth="1"/>
    <col min="6" max="6" width="20.85546875" customWidth="1"/>
    <col min="10" max="10" width="9.5703125" bestFit="1" customWidth="1"/>
    <col min="11" max="11" width="18.140625" bestFit="1" customWidth="1"/>
    <col min="14" max="14" width="9.5703125" bestFit="1" customWidth="1"/>
    <col min="15" max="16" width="18.42578125" bestFit="1" customWidth="1"/>
    <col min="17" max="17" width="13.85546875" style="42" customWidth="1"/>
    <col min="19" max="19" width="13.140625" style="42" bestFit="1" customWidth="1"/>
    <col min="20" max="22" width="9.5703125" bestFit="1" customWidth="1"/>
    <col min="23" max="23" width="25.85546875" style="42" bestFit="1" customWidth="1"/>
    <col min="28" max="28" width="12" bestFit="1" customWidth="1"/>
    <col min="29" max="29" width="12.140625" bestFit="1" customWidth="1"/>
    <col min="39" max="40" width="9.5703125" bestFit="1" customWidth="1"/>
    <col min="43" max="43" width="69.7109375" style="46" bestFit="1" customWidth="1"/>
    <col min="44" max="44" width="5.5703125" bestFit="1" customWidth="1"/>
    <col min="45" max="45" width="11.85546875" bestFit="1" customWidth="1"/>
    <col min="49" max="50" width="9.5703125" bestFit="1" customWidth="1"/>
    <col min="52" max="54" width="9.5703125" bestFit="1" customWidth="1"/>
    <col min="60" max="64" width="9.5703125" bestFit="1" customWidth="1"/>
    <col min="66" max="66" width="11.85546875" bestFit="1" customWidth="1"/>
    <col min="68" max="68" width="9.5703125" bestFit="1" customWidth="1"/>
  </cols>
  <sheetData>
    <row r="1" spans="1:106" s="48" customForma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37</v>
      </c>
      <c r="AM1" s="47" t="s">
        <v>38</v>
      </c>
      <c r="AN1" s="47" t="s">
        <v>39</v>
      </c>
      <c r="AO1" s="47" t="s">
        <v>40</v>
      </c>
      <c r="AP1" s="47" t="s">
        <v>41</v>
      </c>
      <c r="AQ1" s="47" t="s">
        <v>42</v>
      </c>
      <c r="AR1" s="47" t="s">
        <v>43</v>
      </c>
      <c r="AS1" s="47" t="s">
        <v>44</v>
      </c>
      <c r="AT1" s="47" t="s">
        <v>45</v>
      </c>
      <c r="AU1" s="47" t="s">
        <v>46</v>
      </c>
      <c r="AV1" s="47" t="s">
        <v>47</v>
      </c>
      <c r="AW1" s="47" t="s">
        <v>48</v>
      </c>
      <c r="AX1" s="47" t="s">
        <v>49</v>
      </c>
      <c r="AY1" s="47" t="s">
        <v>50</v>
      </c>
      <c r="AZ1" s="47" t="s">
        <v>51</v>
      </c>
      <c r="BA1" s="47" t="s">
        <v>52</v>
      </c>
      <c r="BB1" s="47" t="s">
        <v>53</v>
      </c>
      <c r="BC1" s="47" t="s">
        <v>54</v>
      </c>
      <c r="BD1" s="47" t="s">
        <v>55</v>
      </c>
      <c r="BE1" s="47" t="s">
        <v>56</v>
      </c>
      <c r="BF1" s="47" t="s">
        <v>57</v>
      </c>
      <c r="BG1" s="47" t="s">
        <v>58</v>
      </c>
      <c r="BH1" s="47" t="s">
        <v>59</v>
      </c>
      <c r="BI1" s="47" t="s">
        <v>60</v>
      </c>
      <c r="BJ1" s="47" t="s">
        <v>61</v>
      </c>
      <c r="BK1" s="47" t="s">
        <v>62</v>
      </c>
      <c r="BL1" s="47" t="s">
        <v>63</v>
      </c>
      <c r="BM1" s="47" t="s">
        <v>64</v>
      </c>
      <c r="BN1" s="47" t="s">
        <v>65</v>
      </c>
      <c r="BO1" s="47" t="s">
        <v>66</v>
      </c>
      <c r="BP1" s="47" t="s">
        <v>67</v>
      </c>
      <c r="BQ1" s="47" t="s">
        <v>68</v>
      </c>
      <c r="BR1" s="47" t="s">
        <v>69</v>
      </c>
      <c r="BS1" s="47" t="s">
        <v>70</v>
      </c>
      <c r="BT1" s="47" t="s">
        <v>71</v>
      </c>
      <c r="BU1" s="47" t="s">
        <v>72</v>
      </c>
      <c r="BV1" s="47" t="s">
        <v>73</v>
      </c>
      <c r="BW1" s="47" t="s">
        <v>74</v>
      </c>
      <c r="BX1" s="47" t="s">
        <v>75</v>
      </c>
      <c r="BY1" s="47" t="s">
        <v>76</v>
      </c>
      <c r="BZ1" s="47" t="s">
        <v>77</v>
      </c>
      <c r="CA1" s="47" t="s">
        <v>78</v>
      </c>
      <c r="CB1" s="47" t="s">
        <v>79</v>
      </c>
      <c r="CC1" s="47" t="s">
        <v>80</v>
      </c>
      <c r="CD1" s="47" t="s">
        <v>81</v>
      </c>
      <c r="CE1" s="47" t="s">
        <v>82</v>
      </c>
      <c r="CF1" s="47" t="s">
        <v>1372</v>
      </c>
      <c r="CG1" s="47" t="s">
        <v>83</v>
      </c>
      <c r="CH1" s="47" t="s">
        <v>84</v>
      </c>
      <c r="CI1" s="47" t="s">
        <v>85</v>
      </c>
      <c r="CJ1" s="47" t="s">
        <v>86</v>
      </c>
      <c r="CK1" s="47" t="s">
        <v>87</v>
      </c>
      <c r="CL1" s="47" t="s">
        <v>88</v>
      </c>
      <c r="CM1" s="47" t="s">
        <v>89</v>
      </c>
      <c r="CN1" s="47" t="s">
        <v>90</v>
      </c>
      <c r="CO1" s="47" t="s">
        <v>91</v>
      </c>
      <c r="CP1" s="47" t="s">
        <v>92</v>
      </c>
      <c r="CQ1" s="47" t="s">
        <v>93</v>
      </c>
      <c r="CR1" s="47" t="s">
        <v>94</v>
      </c>
      <c r="CS1" s="47" t="s">
        <v>95</v>
      </c>
      <c r="CT1" s="47" t="s">
        <v>96</v>
      </c>
      <c r="CU1" s="47" t="s">
        <v>97</v>
      </c>
      <c r="CV1" s="47" t="s">
        <v>1151</v>
      </c>
      <c r="CW1" s="47" t="s">
        <v>1198</v>
      </c>
      <c r="CX1" s="47" t="s">
        <v>1199</v>
      </c>
      <c r="CY1" s="47" t="s">
        <v>1152</v>
      </c>
      <c r="CZ1" s="47" t="s">
        <v>1154</v>
      </c>
      <c r="DA1" s="47" t="s">
        <v>1153</v>
      </c>
      <c r="DB1" s="47" t="s">
        <v>1391</v>
      </c>
    </row>
    <row r="2" spans="1:106">
      <c r="A2" t="s">
        <v>98</v>
      </c>
      <c r="B2" t="s">
        <v>99</v>
      </c>
      <c r="C2" t="b">
        <v>0</v>
      </c>
      <c r="D2" t="b">
        <v>0</v>
      </c>
      <c r="E2" t="s">
        <v>100</v>
      </c>
      <c r="F2" t="s">
        <v>101</v>
      </c>
      <c r="G2" t="s">
        <v>102</v>
      </c>
      <c r="H2" t="s">
        <v>103</v>
      </c>
      <c r="I2" t="s">
        <v>100</v>
      </c>
      <c r="J2" t="b">
        <v>0</v>
      </c>
      <c r="K2" s="41">
        <v>45800.387164351851</v>
      </c>
      <c r="N2">
        <v>0</v>
      </c>
      <c r="O2" s="41">
        <v>45238.580659722233</v>
      </c>
      <c r="P2" s="41">
        <v>45926.181041666663</v>
      </c>
      <c r="Q2" s="42">
        <v>8</v>
      </c>
      <c r="R2" t="s">
        <v>105</v>
      </c>
      <c r="S2" s="42">
        <v>16384</v>
      </c>
      <c r="T2">
        <v>983</v>
      </c>
      <c r="U2">
        <v>3</v>
      </c>
      <c r="V2">
        <v>9</v>
      </c>
      <c r="W2" s="42">
        <v>25268224</v>
      </c>
      <c r="Y2" t="s">
        <v>1338</v>
      </c>
      <c r="Z2" t="s">
        <v>106</v>
      </c>
      <c r="AC2" t="b">
        <v>1</v>
      </c>
      <c r="AD2" t="s">
        <v>107</v>
      </c>
      <c r="AE2" t="s">
        <v>108</v>
      </c>
      <c r="AF2" t="s">
        <v>109</v>
      </c>
      <c r="AG2" t="s">
        <v>110</v>
      </c>
      <c r="AM2">
        <v>1</v>
      </c>
      <c r="AN2">
        <v>16384</v>
      </c>
      <c r="AO2" t="s">
        <v>1392</v>
      </c>
      <c r="AP2" t="s">
        <v>111</v>
      </c>
      <c r="AQ2" t="s">
        <v>112</v>
      </c>
      <c r="AS2" t="b">
        <v>1</v>
      </c>
      <c r="AT2" t="s">
        <v>113</v>
      </c>
      <c r="AV2" t="s">
        <v>104</v>
      </c>
      <c r="AW2">
        <v>-1</v>
      </c>
      <c r="AX2">
        <v>-1</v>
      </c>
      <c r="AZ2">
        <v>25284696</v>
      </c>
      <c r="BA2">
        <v>25284696</v>
      </c>
      <c r="BB2">
        <v>25268224</v>
      </c>
      <c r="BC2" t="s">
        <v>114</v>
      </c>
      <c r="BD2" t="s">
        <v>115</v>
      </c>
      <c r="BE2" t="s">
        <v>116</v>
      </c>
      <c r="BH2" t="b">
        <v>0</v>
      </c>
      <c r="BI2">
        <v>0</v>
      </c>
      <c r="BJ2">
        <v>10000</v>
      </c>
      <c r="BK2" t="b">
        <v>0</v>
      </c>
      <c r="BL2" t="b">
        <v>0</v>
      </c>
      <c r="BN2" t="b">
        <v>0</v>
      </c>
      <c r="BO2" t="s">
        <v>117</v>
      </c>
      <c r="BP2">
        <v>19</v>
      </c>
      <c r="BQ2" t="s">
        <v>115</v>
      </c>
      <c r="BR2" t="s">
        <v>118</v>
      </c>
      <c r="BT2" t="s">
        <v>119</v>
      </c>
      <c r="BU2" t="s">
        <v>120</v>
      </c>
      <c r="BV2" t="s">
        <v>120</v>
      </c>
      <c r="BW2" t="s">
        <v>120</v>
      </c>
      <c r="BY2" t="s">
        <v>1373</v>
      </c>
      <c r="BZ2" t="s">
        <v>1374</v>
      </c>
      <c r="CH2" t="s">
        <v>121</v>
      </c>
      <c r="CI2" t="s">
        <v>122</v>
      </c>
      <c r="CJ2" t="s">
        <v>1339</v>
      </c>
      <c r="CK2" t="s">
        <v>124</v>
      </c>
      <c r="CL2" t="s">
        <v>125</v>
      </c>
      <c r="CM2" t="s">
        <v>126</v>
      </c>
      <c r="CO2" t="s">
        <v>127</v>
      </c>
      <c r="CP2" t="s">
        <v>128</v>
      </c>
      <c r="CQ2" t="s">
        <v>129</v>
      </c>
      <c r="CR2" t="s">
        <v>1478</v>
      </c>
      <c r="CS2" t="s">
        <v>1331</v>
      </c>
      <c r="CT2" t="s">
        <v>130</v>
      </c>
      <c r="CU2" t="s">
        <v>131</v>
      </c>
    </row>
    <row r="3" spans="1:106">
      <c r="A3" t="s">
        <v>132</v>
      </c>
      <c r="B3" t="s">
        <v>99</v>
      </c>
      <c r="C3" t="b">
        <v>0</v>
      </c>
      <c r="D3" t="b">
        <v>0</v>
      </c>
      <c r="E3" t="s">
        <v>100</v>
      </c>
      <c r="F3" t="s">
        <v>133</v>
      </c>
      <c r="G3" t="s">
        <v>102</v>
      </c>
      <c r="H3" t="s">
        <v>103</v>
      </c>
      <c r="I3" t="s">
        <v>104</v>
      </c>
      <c r="J3" t="b">
        <v>0</v>
      </c>
      <c r="K3" s="41">
        <v>45800.539039351846</v>
      </c>
      <c r="N3">
        <v>0</v>
      </c>
      <c r="O3" s="41">
        <v>45238.582094907397</v>
      </c>
      <c r="P3" s="41">
        <v>45931.116273148153</v>
      </c>
      <c r="Q3" s="42">
        <v>8</v>
      </c>
      <c r="R3" t="s">
        <v>105</v>
      </c>
      <c r="S3" s="42">
        <v>16384</v>
      </c>
      <c r="T3">
        <v>1310</v>
      </c>
      <c r="U3">
        <v>3</v>
      </c>
      <c r="V3">
        <v>11</v>
      </c>
      <c r="W3" s="42">
        <v>27365376</v>
      </c>
      <c r="Y3" t="s">
        <v>1340</v>
      </c>
      <c r="Z3" t="s">
        <v>106</v>
      </c>
      <c r="AC3" t="b">
        <v>1</v>
      </c>
      <c r="AD3" t="s">
        <v>134</v>
      </c>
      <c r="AE3" t="s">
        <v>108</v>
      </c>
      <c r="AF3" t="s">
        <v>109</v>
      </c>
      <c r="AG3" t="s">
        <v>110</v>
      </c>
      <c r="AM3">
        <v>1</v>
      </c>
      <c r="AN3">
        <v>4096</v>
      </c>
      <c r="AO3" t="s">
        <v>1392</v>
      </c>
      <c r="AP3" t="s">
        <v>111</v>
      </c>
      <c r="AQ3" t="s">
        <v>112</v>
      </c>
      <c r="AS3" t="b">
        <v>1</v>
      </c>
      <c r="AT3" t="s">
        <v>113</v>
      </c>
      <c r="AV3" t="s">
        <v>104</v>
      </c>
      <c r="AW3">
        <v>-1</v>
      </c>
      <c r="AX3">
        <v>-1</v>
      </c>
      <c r="AZ3">
        <v>27381847</v>
      </c>
      <c r="BA3">
        <v>27381847</v>
      </c>
      <c r="BB3">
        <v>27365376</v>
      </c>
      <c r="BC3" t="s">
        <v>114</v>
      </c>
      <c r="BD3" t="s">
        <v>115</v>
      </c>
      <c r="BE3" t="s">
        <v>116</v>
      </c>
      <c r="BH3" t="b">
        <v>0</v>
      </c>
      <c r="BI3">
        <v>10000</v>
      </c>
      <c r="BJ3">
        <v>10000</v>
      </c>
      <c r="BK3" t="b">
        <v>0</v>
      </c>
      <c r="BL3" t="b">
        <v>0</v>
      </c>
      <c r="BN3" t="b">
        <v>0</v>
      </c>
      <c r="BO3" t="s">
        <v>117</v>
      </c>
      <c r="BP3">
        <v>19</v>
      </c>
      <c r="BQ3" t="s">
        <v>115</v>
      </c>
      <c r="BR3" t="s">
        <v>118</v>
      </c>
      <c r="BT3" t="s">
        <v>135</v>
      </c>
      <c r="BU3" t="s">
        <v>136</v>
      </c>
      <c r="BV3" t="s">
        <v>136</v>
      </c>
      <c r="BW3" t="s">
        <v>136</v>
      </c>
      <c r="BY3" t="s">
        <v>1375</v>
      </c>
      <c r="BZ3" t="s">
        <v>1376</v>
      </c>
      <c r="CH3" t="s">
        <v>121</v>
      </c>
      <c r="CI3" t="s">
        <v>122</v>
      </c>
      <c r="CJ3" t="s">
        <v>1085</v>
      </c>
      <c r="CK3" t="s">
        <v>124</v>
      </c>
      <c r="CL3" t="s">
        <v>125</v>
      </c>
      <c r="CM3" t="s">
        <v>126</v>
      </c>
      <c r="CO3" t="s">
        <v>137</v>
      </c>
      <c r="CP3" t="s">
        <v>138</v>
      </c>
      <c r="CQ3" t="s">
        <v>139</v>
      </c>
      <c r="CR3" t="s">
        <v>1478</v>
      </c>
      <c r="CS3" t="s">
        <v>1331</v>
      </c>
      <c r="CT3" t="s">
        <v>130</v>
      </c>
      <c r="CU3" t="s">
        <v>131</v>
      </c>
    </row>
    <row r="4" spans="1:106">
      <c r="A4" t="s">
        <v>140</v>
      </c>
      <c r="B4" t="s">
        <v>99</v>
      </c>
      <c r="C4" t="b">
        <v>0</v>
      </c>
      <c r="D4" t="b">
        <v>0</v>
      </c>
      <c r="E4" t="s">
        <v>100</v>
      </c>
      <c r="F4" t="s">
        <v>141</v>
      </c>
      <c r="G4" t="s">
        <v>102</v>
      </c>
      <c r="H4" t="s">
        <v>103</v>
      </c>
      <c r="I4" t="s">
        <v>100</v>
      </c>
      <c r="J4" t="b">
        <v>0</v>
      </c>
      <c r="K4" s="41">
        <v>45868.518935185188</v>
      </c>
      <c r="N4">
        <v>0</v>
      </c>
      <c r="O4" s="41">
        <v>45233.612997685188</v>
      </c>
      <c r="P4" s="41">
        <v>45930.961956018517</v>
      </c>
      <c r="Q4" s="42">
        <v>4</v>
      </c>
      <c r="R4" t="s">
        <v>105</v>
      </c>
      <c r="S4" s="42">
        <v>16384</v>
      </c>
      <c r="T4">
        <v>1966</v>
      </c>
      <c r="U4">
        <v>1</v>
      </c>
      <c r="V4">
        <v>1</v>
      </c>
      <c r="W4" s="42">
        <v>122880</v>
      </c>
      <c r="Y4" t="s">
        <v>1340</v>
      </c>
      <c r="Z4" t="s">
        <v>106</v>
      </c>
      <c r="AC4" t="b">
        <v>1</v>
      </c>
      <c r="AD4" t="s">
        <v>142</v>
      </c>
      <c r="AE4" t="s">
        <v>143</v>
      </c>
      <c r="AM4">
        <v>1</v>
      </c>
      <c r="AN4">
        <v>8192</v>
      </c>
      <c r="AO4" t="s">
        <v>1392</v>
      </c>
      <c r="AP4" t="s">
        <v>144</v>
      </c>
      <c r="AQ4" t="s">
        <v>145</v>
      </c>
      <c r="AS4" t="b">
        <v>1</v>
      </c>
      <c r="AT4" t="s">
        <v>113</v>
      </c>
      <c r="AV4" t="s">
        <v>104</v>
      </c>
      <c r="AW4">
        <v>-1</v>
      </c>
      <c r="AX4">
        <v>-1</v>
      </c>
      <c r="AZ4">
        <v>139360</v>
      </c>
      <c r="BA4">
        <v>139360</v>
      </c>
      <c r="BB4">
        <v>122880</v>
      </c>
      <c r="BC4" t="s">
        <v>114</v>
      </c>
      <c r="BD4" t="s">
        <v>115</v>
      </c>
      <c r="BE4" t="s">
        <v>116</v>
      </c>
      <c r="BH4" t="b">
        <v>0</v>
      </c>
      <c r="BI4">
        <v>0</v>
      </c>
      <c r="BJ4">
        <v>10000</v>
      </c>
      <c r="BK4" t="b">
        <v>0</v>
      </c>
      <c r="BL4" t="b">
        <v>0</v>
      </c>
      <c r="BN4" t="b">
        <v>0</v>
      </c>
      <c r="BO4" t="s">
        <v>117</v>
      </c>
      <c r="BP4">
        <v>19</v>
      </c>
      <c r="BQ4" t="s">
        <v>115</v>
      </c>
      <c r="BR4" t="s">
        <v>118</v>
      </c>
      <c r="BT4" t="s">
        <v>146</v>
      </c>
      <c r="BU4" t="s">
        <v>147</v>
      </c>
      <c r="BV4" t="s">
        <v>147</v>
      </c>
      <c r="BW4" t="s">
        <v>147</v>
      </c>
      <c r="BY4" t="s">
        <v>1479</v>
      </c>
      <c r="BZ4" t="s">
        <v>1480</v>
      </c>
      <c r="CH4" t="s">
        <v>121</v>
      </c>
      <c r="CI4" t="s">
        <v>122</v>
      </c>
      <c r="CJ4" t="s">
        <v>123</v>
      </c>
      <c r="CK4" t="s">
        <v>149</v>
      </c>
      <c r="CL4" t="s">
        <v>149</v>
      </c>
      <c r="CM4" t="s">
        <v>126</v>
      </c>
      <c r="CO4" t="s">
        <v>150</v>
      </c>
      <c r="CP4" t="s">
        <v>151</v>
      </c>
      <c r="CQ4" t="s">
        <v>152</v>
      </c>
      <c r="CR4" t="s">
        <v>1478</v>
      </c>
      <c r="CS4" t="s">
        <v>1331</v>
      </c>
      <c r="CT4" t="s">
        <v>130</v>
      </c>
      <c r="CU4" t="s">
        <v>131</v>
      </c>
    </row>
    <row r="5" spans="1:106">
      <c r="A5" t="s">
        <v>153</v>
      </c>
      <c r="B5" t="s">
        <v>99</v>
      </c>
      <c r="C5" t="b">
        <v>0</v>
      </c>
      <c r="D5" t="b">
        <v>0</v>
      </c>
      <c r="E5" t="s">
        <v>100</v>
      </c>
      <c r="F5" t="s">
        <v>154</v>
      </c>
      <c r="G5" t="s">
        <v>102</v>
      </c>
      <c r="H5" t="s">
        <v>103</v>
      </c>
      <c r="I5" t="s">
        <v>100</v>
      </c>
      <c r="J5" t="b">
        <v>0</v>
      </c>
      <c r="K5" s="41">
        <v>45870.626979166656</v>
      </c>
      <c r="N5">
        <v>0</v>
      </c>
      <c r="O5" s="41">
        <v>45275.721446759257</v>
      </c>
      <c r="P5" s="41">
        <v>45928.05133101852</v>
      </c>
      <c r="Q5" s="42">
        <v>4</v>
      </c>
      <c r="R5" t="s">
        <v>105</v>
      </c>
      <c r="S5" s="42">
        <v>16384</v>
      </c>
      <c r="T5">
        <v>1638</v>
      </c>
      <c r="U5">
        <v>3</v>
      </c>
      <c r="V5">
        <v>3</v>
      </c>
      <c r="W5" s="42">
        <v>614400</v>
      </c>
      <c r="Y5" t="s">
        <v>1340</v>
      </c>
      <c r="Z5" t="s">
        <v>106</v>
      </c>
      <c r="AB5" t="b">
        <v>1</v>
      </c>
      <c r="AC5" t="b">
        <v>1</v>
      </c>
      <c r="AD5" t="s">
        <v>155</v>
      </c>
      <c r="AE5" t="s">
        <v>108</v>
      </c>
      <c r="AF5" t="s">
        <v>156</v>
      </c>
      <c r="AG5" t="s">
        <v>109</v>
      </c>
      <c r="AM5">
        <v>1</v>
      </c>
      <c r="AN5">
        <v>16384</v>
      </c>
      <c r="AO5" t="s">
        <v>1392</v>
      </c>
      <c r="AP5" t="s">
        <v>144</v>
      </c>
      <c r="AQ5" t="s">
        <v>145</v>
      </c>
      <c r="AS5" t="b">
        <v>1</v>
      </c>
      <c r="AT5" t="s">
        <v>113</v>
      </c>
      <c r="AV5" t="s">
        <v>104</v>
      </c>
      <c r="AW5">
        <v>-1</v>
      </c>
      <c r="AX5">
        <v>-1</v>
      </c>
      <c r="AZ5">
        <v>630888</v>
      </c>
      <c r="BA5">
        <v>630888</v>
      </c>
      <c r="BB5">
        <v>614400</v>
      </c>
      <c r="BC5" t="s">
        <v>114</v>
      </c>
      <c r="BD5" t="s">
        <v>115</v>
      </c>
      <c r="BE5" t="s">
        <v>116</v>
      </c>
      <c r="BH5" t="b">
        <v>0</v>
      </c>
      <c r="BI5">
        <v>0</v>
      </c>
      <c r="BJ5">
        <v>10000</v>
      </c>
      <c r="BK5" t="b">
        <v>0</v>
      </c>
      <c r="BL5" t="b">
        <v>0</v>
      </c>
      <c r="BN5" t="b">
        <v>0</v>
      </c>
      <c r="BO5" t="s">
        <v>117</v>
      </c>
      <c r="BP5">
        <v>19</v>
      </c>
      <c r="BQ5" t="s">
        <v>115</v>
      </c>
      <c r="BR5" t="s">
        <v>118</v>
      </c>
      <c r="BT5" t="s">
        <v>157</v>
      </c>
      <c r="BU5" t="s">
        <v>158</v>
      </c>
      <c r="BV5" t="s">
        <v>158</v>
      </c>
      <c r="BW5" t="s">
        <v>158</v>
      </c>
      <c r="BY5" t="s">
        <v>1481</v>
      </c>
      <c r="BZ5" t="s">
        <v>1482</v>
      </c>
      <c r="CH5" t="s">
        <v>121</v>
      </c>
      <c r="CI5" t="s">
        <v>122</v>
      </c>
      <c r="CJ5" t="s">
        <v>223</v>
      </c>
      <c r="CK5" t="s">
        <v>160</v>
      </c>
      <c r="CL5" t="s">
        <v>160</v>
      </c>
      <c r="CM5" t="s">
        <v>126</v>
      </c>
      <c r="CO5" t="s">
        <v>161</v>
      </c>
      <c r="CP5" t="s">
        <v>162</v>
      </c>
      <c r="CQ5" t="s">
        <v>163</v>
      </c>
      <c r="CR5" t="s">
        <v>1478</v>
      </c>
      <c r="CS5" t="s">
        <v>1331</v>
      </c>
      <c r="CT5" t="s">
        <v>130</v>
      </c>
      <c r="CU5" t="s">
        <v>131</v>
      </c>
    </row>
    <row r="6" spans="1:106">
      <c r="A6" t="s">
        <v>164</v>
      </c>
      <c r="B6" t="s">
        <v>99</v>
      </c>
      <c r="C6" t="b">
        <v>0</v>
      </c>
      <c r="D6" t="b">
        <v>0</v>
      </c>
      <c r="E6" t="s">
        <v>100</v>
      </c>
      <c r="F6" t="s">
        <v>165</v>
      </c>
      <c r="G6" t="s">
        <v>102</v>
      </c>
      <c r="H6" t="s">
        <v>103</v>
      </c>
      <c r="I6" t="s">
        <v>104</v>
      </c>
      <c r="J6" t="b">
        <v>0</v>
      </c>
      <c r="K6" s="41">
        <v>45498.981134259258</v>
      </c>
      <c r="N6">
        <v>0</v>
      </c>
      <c r="O6" s="41">
        <v>45303.698773148149</v>
      </c>
      <c r="P6" s="41">
        <v>45931.170162037037</v>
      </c>
      <c r="Q6" s="42">
        <v>8</v>
      </c>
      <c r="R6" t="s">
        <v>105</v>
      </c>
      <c r="S6" s="42">
        <v>16384</v>
      </c>
      <c r="T6">
        <v>163</v>
      </c>
      <c r="U6">
        <v>3</v>
      </c>
      <c r="V6">
        <v>1</v>
      </c>
      <c r="W6" s="42">
        <v>122880</v>
      </c>
      <c r="Y6" t="s">
        <v>1340</v>
      </c>
      <c r="Z6" t="s">
        <v>106</v>
      </c>
      <c r="AC6" t="b">
        <v>1</v>
      </c>
      <c r="AD6" t="s">
        <v>166</v>
      </c>
      <c r="AE6" t="s">
        <v>108</v>
      </c>
      <c r="AF6" t="s">
        <v>156</v>
      </c>
      <c r="AG6" t="s">
        <v>167</v>
      </c>
      <c r="AM6">
        <v>1</v>
      </c>
      <c r="AN6">
        <v>8192</v>
      </c>
      <c r="AO6" t="s">
        <v>1392</v>
      </c>
      <c r="AP6" t="s">
        <v>144</v>
      </c>
      <c r="AQ6" t="s">
        <v>145</v>
      </c>
      <c r="AS6" t="b">
        <v>1</v>
      </c>
      <c r="AT6" t="s">
        <v>113</v>
      </c>
      <c r="AV6" t="s">
        <v>104</v>
      </c>
      <c r="AW6">
        <v>-1</v>
      </c>
      <c r="AX6">
        <v>-1</v>
      </c>
      <c r="AZ6">
        <v>139357</v>
      </c>
      <c r="BA6">
        <v>139357</v>
      </c>
      <c r="BB6">
        <v>122880</v>
      </c>
      <c r="BC6" t="s">
        <v>114</v>
      </c>
      <c r="BD6" t="s">
        <v>115</v>
      </c>
      <c r="BE6" t="s">
        <v>116</v>
      </c>
      <c r="BH6" t="b">
        <v>0</v>
      </c>
      <c r="BI6">
        <v>0</v>
      </c>
      <c r="BJ6">
        <v>10000</v>
      </c>
      <c r="BK6" t="b">
        <v>0</v>
      </c>
      <c r="BL6" t="b">
        <v>0</v>
      </c>
      <c r="BN6" t="b">
        <v>0</v>
      </c>
      <c r="BO6" t="s">
        <v>117</v>
      </c>
      <c r="BP6">
        <v>19</v>
      </c>
      <c r="BQ6" t="s">
        <v>115</v>
      </c>
      <c r="BR6" t="s">
        <v>118</v>
      </c>
      <c r="BT6" t="s">
        <v>168</v>
      </c>
      <c r="BU6" t="s">
        <v>169</v>
      </c>
      <c r="BV6" t="s">
        <v>169</v>
      </c>
      <c r="BW6" t="s">
        <v>169</v>
      </c>
      <c r="BY6" t="s">
        <v>1483</v>
      </c>
      <c r="BZ6" t="s">
        <v>1484</v>
      </c>
      <c r="CH6" t="s">
        <v>121</v>
      </c>
      <c r="CI6" t="s">
        <v>122</v>
      </c>
      <c r="CJ6" t="s">
        <v>1485</v>
      </c>
      <c r="CK6" t="s">
        <v>170</v>
      </c>
      <c r="CL6" t="s">
        <v>170</v>
      </c>
      <c r="CM6" t="s">
        <v>126</v>
      </c>
      <c r="CO6" t="s">
        <v>171</v>
      </c>
      <c r="CP6" t="s">
        <v>172</v>
      </c>
      <c r="CQ6" t="s">
        <v>173</v>
      </c>
      <c r="CR6" t="s">
        <v>1478</v>
      </c>
      <c r="CS6" t="s">
        <v>1331</v>
      </c>
      <c r="CT6" t="s">
        <v>130</v>
      </c>
      <c r="CU6" t="s">
        <v>131</v>
      </c>
    </row>
    <row r="7" spans="1:106">
      <c r="A7" t="s">
        <v>174</v>
      </c>
      <c r="B7" t="s">
        <v>99</v>
      </c>
      <c r="C7" t="b">
        <v>0</v>
      </c>
      <c r="D7" t="b">
        <v>0</v>
      </c>
      <c r="E7" t="s">
        <v>100</v>
      </c>
      <c r="F7" t="s">
        <v>175</v>
      </c>
      <c r="G7" t="s">
        <v>102</v>
      </c>
      <c r="H7" t="s">
        <v>103</v>
      </c>
      <c r="I7" t="s">
        <v>100</v>
      </c>
      <c r="J7" t="b">
        <v>0</v>
      </c>
      <c r="K7" s="41">
        <v>45926.720381944448</v>
      </c>
      <c r="N7">
        <v>0</v>
      </c>
      <c r="O7" s="41">
        <v>45355.501006944447</v>
      </c>
      <c r="P7" s="41">
        <v>45928.368634259263</v>
      </c>
      <c r="Q7" s="42">
        <v>8</v>
      </c>
      <c r="R7" t="s">
        <v>105</v>
      </c>
      <c r="S7" s="42">
        <v>16384</v>
      </c>
      <c r="T7">
        <v>1310</v>
      </c>
      <c r="U7">
        <v>4</v>
      </c>
      <c r="V7">
        <v>3</v>
      </c>
      <c r="W7" s="42">
        <v>942080</v>
      </c>
      <c r="Y7" t="s">
        <v>1340</v>
      </c>
      <c r="Z7" t="s">
        <v>106</v>
      </c>
      <c r="AB7" t="b">
        <v>1</v>
      </c>
      <c r="AC7" t="b">
        <v>1</v>
      </c>
      <c r="AD7" t="s">
        <v>1393</v>
      </c>
      <c r="AE7" t="s">
        <v>109</v>
      </c>
      <c r="AF7" t="s">
        <v>108</v>
      </c>
      <c r="AG7" t="s">
        <v>156</v>
      </c>
      <c r="AH7" t="s">
        <v>1341</v>
      </c>
      <c r="AM7">
        <v>1</v>
      </c>
      <c r="AN7">
        <v>16384</v>
      </c>
      <c r="AO7" t="s">
        <v>1392</v>
      </c>
      <c r="AP7" t="s">
        <v>144</v>
      </c>
      <c r="AQ7" t="s">
        <v>145</v>
      </c>
      <c r="AS7" t="b">
        <v>1</v>
      </c>
      <c r="AT7" t="s">
        <v>113</v>
      </c>
      <c r="AV7" t="s">
        <v>104</v>
      </c>
      <c r="AW7">
        <v>-1</v>
      </c>
      <c r="AX7">
        <v>-1</v>
      </c>
      <c r="AZ7">
        <v>958591</v>
      </c>
      <c r="BA7">
        <v>958591</v>
      </c>
      <c r="BB7">
        <v>942080</v>
      </c>
      <c r="BC7" t="s">
        <v>114</v>
      </c>
      <c r="BD7" t="s">
        <v>115</v>
      </c>
      <c r="BE7" t="s">
        <v>116</v>
      </c>
      <c r="BH7" t="b">
        <v>0</v>
      </c>
      <c r="BI7">
        <v>0</v>
      </c>
      <c r="BJ7">
        <v>10000</v>
      </c>
      <c r="BK7" t="b">
        <v>0</v>
      </c>
      <c r="BL7" t="b">
        <v>0</v>
      </c>
      <c r="BN7" t="b">
        <v>1</v>
      </c>
      <c r="BO7" t="s">
        <v>176</v>
      </c>
      <c r="BP7">
        <v>19</v>
      </c>
      <c r="BQ7" t="s">
        <v>115</v>
      </c>
      <c r="BR7" t="s">
        <v>118</v>
      </c>
      <c r="BT7" t="s">
        <v>177</v>
      </c>
      <c r="BU7" t="s">
        <v>178</v>
      </c>
      <c r="BV7" t="s">
        <v>178</v>
      </c>
      <c r="BW7" t="s">
        <v>178</v>
      </c>
      <c r="BX7" t="s">
        <v>179</v>
      </c>
      <c r="BY7" t="s">
        <v>1486</v>
      </c>
      <c r="BZ7" t="s">
        <v>1487</v>
      </c>
      <c r="CH7" t="s">
        <v>121</v>
      </c>
      <c r="CI7" t="s">
        <v>122</v>
      </c>
      <c r="CJ7" t="s">
        <v>123</v>
      </c>
      <c r="CK7" t="s">
        <v>160</v>
      </c>
      <c r="CL7" t="s">
        <v>160</v>
      </c>
      <c r="CM7" t="s">
        <v>126</v>
      </c>
      <c r="CO7" t="s">
        <v>181</v>
      </c>
      <c r="CP7" t="s">
        <v>182</v>
      </c>
      <c r="CQ7" t="s">
        <v>183</v>
      </c>
      <c r="CR7" t="s">
        <v>1478</v>
      </c>
      <c r="CS7" t="s">
        <v>1331</v>
      </c>
      <c r="CT7" t="s">
        <v>130</v>
      </c>
      <c r="CU7" t="s">
        <v>131</v>
      </c>
    </row>
    <row r="8" spans="1:106">
      <c r="A8" t="s">
        <v>184</v>
      </c>
      <c r="B8" t="s">
        <v>99</v>
      </c>
      <c r="C8" t="b">
        <v>0</v>
      </c>
      <c r="D8" t="b">
        <v>0</v>
      </c>
      <c r="E8" t="s">
        <v>100</v>
      </c>
      <c r="F8" t="s">
        <v>185</v>
      </c>
      <c r="G8" t="s">
        <v>102</v>
      </c>
      <c r="H8" t="s">
        <v>103</v>
      </c>
      <c r="I8" t="s">
        <v>100</v>
      </c>
      <c r="J8" t="b">
        <v>0</v>
      </c>
      <c r="K8" s="41">
        <v>45895.056643518517</v>
      </c>
      <c r="N8">
        <v>0</v>
      </c>
      <c r="O8" s="41">
        <v>45366.489027777781</v>
      </c>
      <c r="P8" s="41">
        <v>45930.991284722222</v>
      </c>
      <c r="Q8" s="42">
        <v>4</v>
      </c>
      <c r="R8" t="s">
        <v>105</v>
      </c>
      <c r="S8" s="42">
        <v>16384</v>
      </c>
      <c r="T8">
        <v>1310</v>
      </c>
      <c r="U8">
        <v>3</v>
      </c>
      <c r="V8">
        <v>3</v>
      </c>
      <c r="W8" s="42">
        <v>481280</v>
      </c>
      <c r="Y8" t="s">
        <v>1340</v>
      </c>
      <c r="Z8" t="s">
        <v>106</v>
      </c>
      <c r="AB8" t="b">
        <v>1</v>
      </c>
      <c r="AC8" t="b">
        <v>1</v>
      </c>
      <c r="AD8" t="s">
        <v>186</v>
      </c>
      <c r="AE8" t="s">
        <v>109</v>
      </c>
      <c r="AF8" t="s">
        <v>108</v>
      </c>
      <c r="AG8" t="s">
        <v>156</v>
      </c>
      <c r="AM8">
        <v>1</v>
      </c>
      <c r="AN8">
        <v>8192</v>
      </c>
      <c r="AO8" t="s">
        <v>1392</v>
      </c>
      <c r="AP8" t="s">
        <v>144</v>
      </c>
      <c r="AQ8" t="s">
        <v>145</v>
      </c>
      <c r="AS8" t="b">
        <v>1</v>
      </c>
      <c r="AT8" t="s">
        <v>113</v>
      </c>
      <c r="AV8" t="s">
        <v>104</v>
      </c>
      <c r="AW8">
        <v>-1</v>
      </c>
      <c r="AX8">
        <v>-1</v>
      </c>
      <c r="AZ8">
        <v>497789</v>
      </c>
      <c r="BA8">
        <v>497789</v>
      </c>
      <c r="BB8">
        <v>481280</v>
      </c>
      <c r="BC8" t="s">
        <v>114</v>
      </c>
      <c r="BD8" t="s">
        <v>115</v>
      </c>
      <c r="BE8" t="s">
        <v>116</v>
      </c>
      <c r="BH8" t="b">
        <v>0</v>
      </c>
      <c r="BI8">
        <v>0</v>
      </c>
      <c r="BJ8">
        <v>10000</v>
      </c>
      <c r="BK8" t="b">
        <v>0</v>
      </c>
      <c r="BL8" t="b">
        <v>0</v>
      </c>
      <c r="BN8" t="b">
        <v>0</v>
      </c>
      <c r="BO8" t="s">
        <v>117</v>
      </c>
      <c r="BP8">
        <v>19</v>
      </c>
      <c r="BQ8" t="s">
        <v>115</v>
      </c>
      <c r="BR8" t="s">
        <v>118</v>
      </c>
      <c r="BT8" t="s">
        <v>187</v>
      </c>
      <c r="BU8" t="s">
        <v>188</v>
      </c>
      <c r="BV8" t="s">
        <v>188</v>
      </c>
      <c r="BW8" t="s">
        <v>188</v>
      </c>
      <c r="BY8" t="s">
        <v>1488</v>
      </c>
      <c r="BZ8" t="s">
        <v>1489</v>
      </c>
      <c r="CH8" t="s">
        <v>121</v>
      </c>
      <c r="CI8" t="s">
        <v>122</v>
      </c>
      <c r="CJ8" t="s">
        <v>159</v>
      </c>
      <c r="CK8" t="s">
        <v>189</v>
      </c>
      <c r="CL8" t="s">
        <v>189</v>
      </c>
      <c r="CM8" t="s">
        <v>126</v>
      </c>
      <c r="CO8" t="s">
        <v>190</v>
      </c>
      <c r="CP8" t="s">
        <v>191</v>
      </c>
      <c r="CQ8" t="s">
        <v>192</v>
      </c>
      <c r="CR8" t="s">
        <v>1478</v>
      </c>
      <c r="CS8" t="s">
        <v>1331</v>
      </c>
      <c r="CT8" t="s">
        <v>130</v>
      </c>
      <c r="CU8" t="s">
        <v>131</v>
      </c>
    </row>
    <row r="9" spans="1:106">
      <c r="A9" t="s">
        <v>193</v>
      </c>
      <c r="B9" t="s">
        <v>99</v>
      </c>
      <c r="C9" t="b">
        <v>0</v>
      </c>
      <c r="D9" t="b">
        <v>0</v>
      </c>
      <c r="E9" t="s">
        <v>100</v>
      </c>
      <c r="F9" t="s">
        <v>194</v>
      </c>
      <c r="G9" t="s">
        <v>102</v>
      </c>
      <c r="H9" t="s">
        <v>103</v>
      </c>
      <c r="I9" t="s">
        <v>100</v>
      </c>
      <c r="J9" t="b">
        <v>0</v>
      </c>
      <c r="K9" s="41">
        <v>45857.869988425933</v>
      </c>
      <c r="N9">
        <v>0</v>
      </c>
      <c r="O9" s="41">
        <v>45373.461747685193</v>
      </c>
      <c r="P9" s="41">
        <v>45931.071539351848</v>
      </c>
      <c r="Q9" s="42">
        <v>4</v>
      </c>
      <c r="R9" t="s">
        <v>105</v>
      </c>
      <c r="S9" s="42">
        <v>16384</v>
      </c>
      <c r="T9">
        <v>1310</v>
      </c>
      <c r="U9">
        <v>3</v>
      </c>
      <c r="V9">
        <v>5</v>
      </c>
      <c r="W9" s="42">
        <v>8869888</v>
      </c>
      <c r="Y9" t="s">
        <v>1340</v>
      </c>
      <c r="Z9" t="s">
        <v>106</v>
      </c>
      <c r="AB9" t="b">
        <v>1</v>
      </c>
      <c r="AC9" t="b">
        <v>1</v>
      </c>
      <c r="AD9" t="s">
        <v>195</v>
      </c>
      <c r="AE9" t="s">
        <v>156</v>
      </c>
      <c r="AF9" t="s">
        <v>109</v>
      </c>
      <c r="AG9" t="s">
        <v>196</v>
      </c>
      <c r="AM9">
        <v>1</v>
      </c>
      <c r="AN9">
        <v>8192</v>
      </c>
      <c r="AO9" t="s">
        <v>1392</v>
      </c>
      <c r="AP9" t="s">
        <v>144</v>
      </c>
      <c r="AQ9" t="s">
        <v>145</v>
      </c>
      <c r="AS9" t="b">
        <v>1</v>
      </c>
      <c r="AT9" t="s">
        <v>113</v>
      </c>
      <c r="AV9" t="s">
        <v>104</v>
      </c>
      <c r="AW9">
        <v>-1</v>
      </c>
      <c r="AX9">
        <v>-1</v>
      </c>
      <c r="AZ9">
        <v>8886509</v>
      </c>
      <c r="BA9">
        <v>8886509</v>
      </c>
      <c r="BB9">
        <v>8869888</v>
      </c>
      <c r="BC9" t="s">
        <v>114</v>
      </c>
      <c r="BD9" t="s">
        <v>115</v>
      </c>
      <c r="BE9" t="s">
        <v>116</v>
      </c>
      <c r="BH9" t="b">
        <v>0</v>
      </c>
      <c r="BI9">
        <v>0</v>
      </c>
      <c r="BJ9">
        <v>10000</v>
      </c>
      <c r="BK9" t="b">
        <v>0</v>
      </c>
      <c r="BL9" t="b">
        <v>0</v>
      </c>
      <c r="BN9" t="b">
        <v>1</v>
      </c>
      <c r="BO9" t="s">
        <v>176</v>
      </c>
      <c r="BP9">
        <v>19</v>
      </c>
      <c r="BQ9" t="s">
        <v>115</v>
      </c>
      <c r="BR9" t="s">
        <v>118</v>
      </c>
      <c r="BT9" t="s">
        <v>197</v>
      </c>
      <c r="BU9" t="s">
        <v>198</v>
      </c>
      <c r="BV9" t="s">
        <v>198</v>
      </c>
      <c r="BW9" t="s">
        <v>198</v>
      </c>
      <c r="BX9" t="s">
        <v>179</v>
      </c>
      <c r="BY9" t="s">
        <v>1490</v>
      </c>
      <c r="BZ9" t="s">
        <v>1491</v>
      </c>
      <c r="CA9" t="s">
        <v>199</v>
      </c>
      <c r="CH9" t="s">
        <v>121</v>
      </c>
      <c r="CI9" t="s">
        <v>122</v>
      </c>
      <c r="CJ9" t="s">
        <v>1130</v>
      </c>
      <c r="CK9" t="s">
        <v>160</v>
      </c>
      <c r="CL9" t="s">
        <v>160</v>
      </c>
      <c r="CM9" t="s">
        <v>126</v>
      </c>
      <c r="CO9" t="s">
        <v>199</v>
      </c>
      <c r="CP9" t="s">
        <v>201</v>
      </c>
      <c r="CQ9" t="s">
        <v>202</v>
      </c>
      <c r="CR9" t="s">
        <v>1478</v>
      </c>
      <c r="CS9" t="s">
        <v>1331</v>
      </c>
      <c r="CT9" t="s">
        <v>130</v>
      </c>
      <c r="CU9" t="s">
        <v>131</v>
      </c>
    </row>
    <row r="10" spans="1:106">
      <c r="A10" t="s">
        <v>203</v>
      </c>
      <c r="B10" t="s">
        <v>99</v>
      </c>
      <c r="C10" t="b">
        <v>0</v>
      </c>
      <c r="D10" t="b">
        <v>0</v>
      </c>
      <c r="E10" t="s">
        <v>100</v>
      </c>
      <c r="F10" t="s">
        <v>204</v>
      </c>
      <c r="G10" t="s">
        <v>102</v>
      </c>
      <c r="H10" t="s">
        <v>103</v>
      </c>
      <c r="I10" t="s">
        <v>100</v>
      </c>
      <c r="J10" t="b">
        <v>0</v>
      </c>
      <c r="K10" s="41">
        <v>45745.462708333333</v>
      </c>
      <c r="N10">
        <v>0</v>
      </c>
      <c r="O10" s="41">
        <v>45383.387986111113</v>
      </c>
      <c r="P10" s="41">
        <v>45929.515324074076</v>
      </c>
      <c r="Q10" s="42">
        <v>4</v>
      </c>
      <c r="R10" t="s">
        <v>105</v>
      </c>
      <c r="S10" s="42">
        <v>12288</v>
      </c>
      <c r="T10">
        <v>860</v>
      </c>
      <c r="U10">
        <v>3</v>
      </c>
      <c r="V10">
        <v>2</v>
      </c>
      <c r="W10" s="42">
        <v>174080</v>
      </c>
      <c r="Y10" t="s">
        <v>1338</v>
      </c>
      <c r="Z10" t="s">
        <v>106</v>
      </c>
      <c r="AB10" t="b">
        <v>1</v>
      </c>
      <c r="AC10" t="b">
        <v>1</v>
      </c>
      <c r="AD10" t="s">
        <v>205</v>
      </c>
      <c r="AE10" t="s">
        <v>108</v>
      </c>
      <c r="AF10" t="s">
        <v>109</v>
      </c>
      <c r="AG10" t="s">
        <v>156</v>
      </c>
      <c r="AM10">
        <v>1</v>
      </c>
      <c r="AN10">
        <v>8192</v>
      </c>
      <c r="AO10" t="s">
        <v>1392</v>
      </c>
      <c r="AP10" t="s">
        <v>144</v>
      </c>
      <c r="AQ10" t="s">
        <v>145</v>
      </c>
      <c r="AS10" t="b">
        <v>1</v>
      </c>
      <c r="AT10" t="s">
        <v>113</v>
      </c>
      <c r="AV10" t="s">
        <v>104</v>
      </c>
      <c r="AW10">
        <v>-1</v>
      </c>
      <c r="AX10">
        <v>-1</v>
      </c>
      <c r="AZ10">
        <v>186464</v>
      </c>
      <c r="BA10">
        <v>186464</v>
      </c>
      <c r="BB10">
        <v>174080</v>
      </c>
      <c r="BC10" t="s">
        <v>114</v>
      </c>
      <c r="BD10" t="s">
        <v>115</v>
      </c>
      <c r="BE10" t="s">
        <v>116</v>
      </c>
      <c r="BH10" t="b">
        <v>0</v>
      </c>
      <c r="BI10">
        <v>0</v>
      </c>
      <c r="BJ10">
        <v>10000</v>
      </c>
      <c r="BK10" t="b">
        <v>0</v>
      </c>
      <c r="BL10" t="b">
        <v>0</v>
      </c>
      <c r="BN10" t="b">
        <v>1</v>
      </c>
      <c r="BO10" t="s">
        <v>176</v>
      </c>
      <c r="BP10">
        <v>19</v>
      </c>
      <c r="BQ10" t="s">
        <v>115</v>
      </c>
      <c r="BR10" t="s">
        <v>118</v>
      </c>
      <c r="BT10" t="s">
        <v>1342</v>
      </c>
      <c r="BU10" t="s">
        <v>1343</v>
      </c>
      <c r="BV10" t="s">
        <v>1343</v>
      </c>
      <c r="BW10" t="s">
        <v>1343</v>
      </c>
      <c r="BX10" t="s">
        <v>179</v>
      </c>
      <c r="BY10" t="s">
        <v>1492</v>
      </c>
      <c r="BZ10" t="s">
        <v>1493</v>
      </c>
      <c r="CH10" t="s">
        <v>121</v>
      </c>
      <c r="CI10" t="s">
        <v>122</v>
      </c>
      <c r="CJ10" t="s">
        <v>1385</v>
      </c>
      <c r="CK10" t="s">
        <v>160</v>
      </c>
      <c r="CL10" t="s">
        <v>160</v>
      </c>
      <c r="CM10" t="s">
        <v>126</v>
      </c>
      <c r="CO10" t="s">
        <v>206</v>
      </c>
      <c r="CP10" t="s">
        <v>207</v>
      </c>
      <c r="CQ10" t="s">
        <v>208</v>
      </c>
      <c r="CR10" t="s">
        <v>1478</v>
      </c>
      <c r="CS10" t="s">
        <v>1331</v>
      </c>
      <c r="CT10" t="s">
        <v>130</v>
      </c>
      <c r="CU10" t="s">
        <v>131</v>
      </c>
    </row>
    <row r="11" spans="1:106">
      <c r="A11" t="s">
        <v>209</v>
      </c>
      <c r="B11" t="s">
        <v>99</v>
      </c>
      <c r="C11" t="b">
        <v>0</v>
      </c>
      <c r="D11" t="b">
        <v>0</v>
      </c>
      <c r="E11" t="s">
        <v>100</v>
      </c>
      <c r="F11" t="s">
        <v>210</v>
      </c>
      <c r="G11" t="s">
        <v>102</v>
      </c>
      <c r="H11" t="s">
        <v>103</v>
      </c>
      <c r="I11" t="s">
        <v>100</v>
      </c>
      <c r="J11" t="b">
        <v>0</v>
      </c>
      <c r="K11" s="41">
        <v>45890.363217592603</v>
      </c>
      <c r="N11">
        <v>0</v>
      </c>
      <c r="O11" s="41">
        <v>45390.377291666657</v>
      </c>
      <c r="P11" s="41">
        <v>45925.450046296297</v>
      </c>
      <c r="Q11" s="42">
        <v>6</v>
      </c>
      <c r="R11" t="s">
        <v>105</v>
      </c>
      <c r="S11" s="42">
        <v>49152</v>
      </c>
      <c r="T11">
        <v>491</v>
      </c>
      <c r="U11">
        <v>3</v>
      </c>
      <c r="V11">
        <v>4</v>
      </c>
      <c r="W11" s="42">
        <v>440320</v>
      </c>
      <c r="Y11" t="s">
        <v>1340</v>
      </c>
      <c r="Z11" t="s">
        <v>106</v>
      </c>
      <c r="AB11" t="b">
        <v>1</v>
      </c>
      <c r="AC11" t="b">
        <v>1</v>
      </c>
      <c r="AD11" t="s">
        <v>211</v>
      </c>
      <c r="AE11" t="s">
        <v>108</v>
      </c>
      <c r="AF11" t="s">
        <v>212</v>
      </c>
      <c r="AG11" t="s">
        <v>156</v>
      </c>
      <c r="AM11">
        <v>1</v>
      </c>
      <c r="AN11">
        <v>8192</v>
      </c>
      <c r="AO11" t="s">
        <v>1392</v>
      </c>
      <c r="AP11" t="s">
        <v>144</v>
      </c>
      <c r="AQ11" t="s">
        <v>145</v>
      </c>
      <c r="AS11" t="b">
        <v>1</v>
      </c>
      <c r="AT11" t="s">
        <v>113</v>
      </c>
      <c r="AV11" t="s">
        <v>104</v>
      </c>
      <c r="AW11">
        <v>-1</v>
      </c>
      <c r="AX11">
        <v>-1</v>
      </c>
      <c r="AZ11">
        <v>489570</v>
      </c>
      <c r="BA11">
        <v>489570</v>
      </c>
      <c r="BB11">
        <v>440320</v>
      </c>
      <c r="BC11" t="s">
        <v>114</v>
      </c>
      <c r="BD11" t="s">
        <v>115</v>
      </c>
      <c r="BE11" t="s">
        <v>116</v>
      </c>
      <c r="BH11" t="b">
        <v>0</v>
      </c>
      <c r="BI11">
        <v>0</v>
      </c>
      <c r="BJ11">
        <v>10000</v>
      </c>
      <c r="BK11" t="b">
        <v>0</v>
      </c>
      <c r="BL11" t="b">
        <v>0</v>
      </c>
      <c r="BN11" t="b">
        <v>1</v>
      </c>
      <c r="BO11" t="s">
        <v>176</v>
      </c>
      <c r="BP11">
        <v>19</v>
      </c>
      <c r="BQ11" t="s">
        <v>115</v>
      </c>
      <c r="BR11" t="s">
        <v>118</v>
      </c>
      <c r="BT11" t="s">
        <v>213</v>
      </c>
      <c r="BU11" t="s">
        <v>214</v>
      </c>
      <c r="BV11" t="s">
        <v>214</v>
      </c>
      <c r="BW11" t="s">
        <v>214</v>
      </c>
      <c r="BX11" t="s">
        <v>179</v>
      </c>
      <c r="BY11" t="s">
        <v>1494</v>
      </c>
      <c r="BZ11" t="s">
        <v>1495</v>
      </c>
      <c r="CH11" t="s">
        <v>121</v>
      </c>
      <c r="CI11" t="s">
        <v>122</v>
      </c>
      <c r="CJ11" t="s">
        <v>1377</v>
      </c>
      <c r="CK11" t="s">
        <v>160</v>
      </c>
      <c r="CL11" t="s">
        <v>160</v>
      </c>
      <c r="CM11" t="s">
        <v>126</v>
      </c>
      <c r="CO11" t="s">
        <v>215</v>
      </c>
      <c r="CP11" t="s">
        <v>216</v>
      </c>
      <c r="CQ11" t="s">
        <v>217</v>
      </c>
      <c r="CR11" t="s">
        <v>1478</v>
      </c>
      <c r="CS11" t="s">
        <v>1331</v>
      </c>
      <c r="CT11" t="s">
        <v>130</v>
      </c>
      <c r="CU11" t="s">
        <v>131</v>
      </c>
    </row>
    <row r="12" spans="1:106">
      <c r="A12" t="s">
        <v>218</v>
      </c>
      <c r="B12" t="s">
        <v>99</v>
      </c>
      <c r="C12" t="b">
        <v>0</v>
      </c>
      <c r="D12" t="b">
        <v>0</v>
      </c>
      <c r="E12" t="s">
        <v>100</v>
      </c>
      <c r="F12" t="s">
        <v>219</v>
      </c>
      <c r="G12" t="s">
        <v>102</v>
      </c>
      <c r="H12" t="s">
        <v>103</v>
      </c>
      <c r="I12" t="s">
        <v>104</v>
      </c>
      <c r="J12" t="b">
        <v>0</v>
      </c>
      <c r="K12" s="41">
        <v>45890.419016203698</v>
      </c>
      <c r="N12">
        <v>0</v>
      </c>
      <c r="O12" s="41">
        <v>45390.380370370367</v>
      </c>
      <c r="P12" s="41">
        <v>45931.264004629629</v>
      </c>
      <c r="Q12" s="42">
        <v>4</v>
      </c>
      <c r="R12" t="s">
        <v>105</v>
      </c>
      <c r="S12" s="42">
        <v>4096</v>
      </c>
      <c r="T12">
        <v>368</v>
      </c>
      <c r="U12">
        <v>3</v>
      </c>
      <c r="V12">
        <v>3</v>
      </c>
      <c r="W12" s="42">
        <v>235520</v>
      </c>
      <c r="Y12" t="s">
        <v>1338</v>
      </c>
      <c r="Z12" t="s">
        <v>106</v>
      </c>
      <c r="AB12" t="b">
        <v>1</v>
      </c>
      <c r="AC12" t="b">
        <v>1</v>
      </c>
      <c r="AD12" t="s">
        <v>220</v>
      </c>
      <c r="AE12" t="s">
        <v>108</v>
      </c>
      <c r="AF12" t="s">
        <v>212</v>
      </c>
      <c r="AG12" t="s">
        <v>156</v>
      </c>
      <c r="AM12">
        <v>1</v>
      </c>
      <c r="AN12">
        <v>8192</v>
      </c>
      <c r="AO12" t="s">
        <v>1392</v>
      </c>
      <c r="AP12" t="s">
        <v>144</v>
      </c>
      <c r="AQ12" t="s">
        <v>145</v>
      </c>
      <c r="AS12" t="b">
        <v>1</v>
      </c>
      <c r="AT12" t="s">
        <v>113</v>
      </c>
      <c r="AV12" t="s">
        <v>104</v>
      </c>
      <c r="AW12">
        <v>-1</v>
      </c>
      <c r="AX12">
        <v>-1</v>
      </c>
      <c r="AZ12">
        <v>239701</v>
      </c>
      <c r="BA12">
        <v>239701</v>
      </c>
      <c r="BB12">
        <v>235520</v>
      </c>
      <c r="BC12" t="s">
        <v>114</v>
      </c>
      <c r="BD12" t="s">
        <v>115</v>
      </c>
      <c r="BE12" t="s">
        <v>116</v>
      </c>
      <c r="BH12" t="b">
        <v>0</v>
      </c>
      <c r="BI12">
        <v>0</v>
      </c>
      <c r="BJ12">
        <v>10000</v>
      </c>
      <c r="BK12" t="b">
        <v>0</v>
      </c>
      <c r="BL12" t="b">
        <v>0</v>
      </c>
      <c r="BN12" t="b">
        <v>1</v>
      </c>
      <c r="BO12" t="s">
        <v>176</v>
      </c>
      <c r="BP12">
        <v>19</v>
      </c>
      <c r="BQ12" t="s">
        <v>115</v>
      </c>
      <c r="BR12" t="s">
        <v>118</v>
      </c>
      <c r="BT12" t="s">
        <v>221</v>
      </c>
      <c r="BU12" t="s">
        <v>222</v>
      </c>
      <c r="BV12" t="s">
        <v>222</v>
      </c>
      <c r="BW12" t="s">
        <v>222</v>
      </c>
      <c r="BX12" t="s">
        <v>179</v>
      </c>
      <c r="BY12" t="s">
        <v>1496</v>
      </c>
      <c r="BZ12" t="s">
        <v>1497</v>
      </c>
      <c r="CH12" t="s">
        <v>121</v>
      </c>
      <c r="CI12" t="s">
        <v>122</v>
      </c>
      <c r="CJ12" t="s">
        <v>200</v>
      </c>
      <c r="CK12" t="s">
        <v>160</v>
      </c>
      <c r="CL12" t="s">
        <v>160</v>
      </c>
      <c r="CM12" t="s">
        <v>126</v>
      </c>
      <c r="CO12" t="s">
        <v>224</v>
      </c>
      <c r="CP12" t="s">
        <v>225</v>
      </c>
      <c r="CQ12" t="s">
        <v>226</v>
      </c>
      <c r="CR12" t="s">
        <v>1478</v>
      </c>
      <c r="CS12" t="s">
        <v>1331</v>
      </c>
      <c r="CT12" t="s">
        <v>130</v>
      </c>
      <c r="CU12" t="s">
        <v>131</v>
      </c>
    </row>
    <row r="13" spans="1:106">
      <c r="A13" t="s">
        <v>227</v>
      </c>
      <c r="B13" t="s">
        <v>99</v>
      </c>
      <c r="C13" t="b">
        <v>0</v>
      </c>
      <c r="D13" t="b">
        <v>0</v>
      </c>
      <c r="E13" t="s">
        <v>100</v>
      </c>
      <c r="F13" t="s">
        <v>228</v>
      </c>
      <c r="G13" t="s">
        <v>102</v>
      </c>
      <c r="H13" t="s">
        <v>103</v>
      </c>
      <c r="I13" t="s">
        <v>100</v>
      </c>
      <c r="J13" t="b">
        <v>0</v>
      </c>
      <c r="K13" s="41">
        <v>45588.557337962957</v>
      </c>
      <c r="N13">
        <v>0</v>
      </c>
      <c r="O13" s="41">
        <v>45406.597928240742</v>
      </c>
      <c r="P13" s="41">
        <v>45908.001574074071</v>
      </c>
      <c r="Q13" s="42">
        <v>8</v>
      </c>
      <c r="R13" t="s">
        <v>105</v>
      </c>
      <c r="S13" s="42">
        <v>20480</v>
      </c>
      <c r="T13">
        <v>3276</v>
      </c>
      <c r="U13">
        <v>3</v>
      </c>
      <c r="V13">
        <v>1</v>
      </c>
      <c r="W13" s="42">
        <v>204800</v>
      </c>
      <c r="Y13" t="s">
        <v>229</v>
      </c>
      <c r="Z13" t="s">
        <v>106</v>
      </c>
      <c r="AC13" t="b">
        <v>1</v>
      </c>
      <c r="AD13" t="s">
        <v>230</v>
      </c>
      <c r="AE13" t="s">
        <v>231</v>
      </c>
      <c r="AF13" t="s">
        <v>232</v>
      </c>
      <c r="AG13" t="s">
        <v>233</v>
      </c>
      <c r="AM13">
        <v>1</v>
      </c>
      <c r="AN13">
        <v>4096</v>
      </c>
      <c r="AO13" t="s">
        <v>234</v>
      </c>
      <c r="AP13" t="s">
        <v>235</v>
      </c>
      <c r="AQ13" t="s">
        <v>236</v>
      </c>
      <c r="AS13" t="b">
        <v>1</v>
      </c>
      <c r="AT13" t="s">
        <v>113</v>
      </c>
      <c r="AV13" t="s">
        <v>104</v>
      </c>
      <c r="AW13">
        <v>-1</v>
      </c>
      <c r="AX13">
        <v>-1</v>
      </c>
      <c r="AZ13">
        <v>225612</v>
      </c>
      <c r="BA13">
        <v>225612</v>
      </c>
      <c r="BB13">
        <v>204800</v>
      </c>
      <c r="BC13" t="s">
        <v>114</v>
      </c>
      <c r="BD13" t="s">
        <v>115</v>
      </c>
      <c r="BE13" t="s">
        <v>116</v>
      </c>
      <c r="BH13" t="b">
        <v>0</v>
      </c>
      <c r="BI13">
        <v>10000</v>
      </c>
      <c r="BJ13">
        <v>10000</v>
      </c>
      <c r="BK13" t="b">
        <v>0</v>
      </c>
      <c r="BL13" t="b">
        <v>0</v>
      </c>
      <c r="BN13" t="b">
        <v>0</v>
      </c>
      <c r="BO13" t="s">
        <v>117</v>
      </c>
      <c r="BP13">
        <v>19</v>
      </c>
      <c r="BQ13" t="s">
        <v>115</v>
      </c>
      <c r="BR13" t="s">
        <v>118</v>
      </c>
      <c r="BT13" t="s">
        <v>237</v>
      </c>
      <c r="BU13" t="s">
        <v>238</v>
      </c>
      <c r="BV13" t="s">
        <v>238</v>
      </c>
      <c r="BW13" t="s">
        <v>238</v>
      </c>
      <c r="BY13" t="s">
        <v>1498</v>
      </c>
      <c r="BZ13" t="s">
        <v>1499</v>
      </c>
      <c r="CH13" t="s">
        <v>121</v>
      </c>
      <c r="CI13" t="s">
        <v>239</v>
      </c>
      <c r="CJ13" t="s">
        <v>1298</v>
      </c>
      <c r="CK13" t="s">
        <v>241</v>
      </c>
      <c r="CL13" t="s">
        <v>242</v>
      </c>
      <c r="CM13" t="s">
        <v>126</v>
      </c>
      <c r="CO13" t="s">
        <v>243</v>
      </c>
      <c r="CP13" t="s">
        <v>244</v>
      </c>
      <c r="CQ13" t="s">
        <v>245</v>
      </c>
      <c r="CR13" t="s">
        <v>1478</v>
      </c>
      <c r="CS13" t="s">
        <v>1331</v>
      </c>
      <c r="CT13" t="s">
        <v>130</v>
      </c>
      <c r="CU13" t="s">
        <v>131</v>
      </c>
    </row>
    <row r="14" spans="1:106">
      <c r="A14" t="s">
        <v>246</v>
      </c>
      <c r="B14" t="s">
        <v>99</v>
      </c>
      <c r="C14" t="b">
        <v>0</v>
      </c>
      <c r="D14" t="b">
        <v>0</v>
      </c>
      <c r="E14" t="s">
        <v>100</v>
      </c>
      <c r="F14" t="s">
        <v>247</v>
      </c>
      <c r="G14" t="s">
        <v>102</v>
      </c>
      <c r="H14" t="s">
        <v>103</v>
      </c>
      <c r="I14" t="s">
        <v>100</v>
      </c>
      <c r="J14" t="b">
        <v>0</v>
      </c>
      <c r="K14" s="41">
        <v>45588.5628125</v>
      </c>
      <c r="N14">
        <v>0</v>
      </c>
      <c r="O14" s="41">
        <v>45406.598773148151</v>
      </c>
      <c r="P14" s="41">
        <v>45877.75204861111</v>
      </c>
      <c r="Q14" s="42">
        <v>8</v>
      </c>
      <c r="R14" t="s">
        <v>105</v>
      </c>
      <c r="S14" s="42">
        <v>20480</v>
      </c>
      <c r="T14">
        <v>2867</v>
      </c>
      <c r="U14">
        <v>3</v>
      </c>
      <c r="V14">
        <v>1</v>
      </c>
      <c r="W14" s="42">
        <v>204800</v>
      </c>
      <c r="Y14" t="s">
        <v>229</v>
      </c>
      <c r="Z14" t="s">
        <v>106</v>
      </c>
      <c r="AC14" t="b">
        <v>1</v>
      </c>
      <c r="AD14" t="s">
        <v>248</v>
      </c>
      <c r="AE14" t="s">
        <v>231</v>
      </c>
      <c r="AF14" t="s">
        <v>232</v>
      </c>
      <c r="AG14" t="s">
        <v>233</v>
      </c>
      <c r="AM14">
        <v>1</v>
      </c>
      <c r="AN14">
        <v>4096</v>
      </c>
      <c r="AO14" t="s">
        <v>234</v>
      </c>
      <c r="AP14" t="s">
        <v>235</v>
      </c>
      <c r="AQ14" t="s">
        <v>236</v>
      </c>
      <c r="AS14" t="b">
        <v>1</v>
      </c>
      <c r="AT14" t="s">
        <v>113</v>
      </c>
      <c r="AV14" t="s">
        <v>104</v>
      </c>
      <c r="AW14">
        <v>-1</v>
      </c>
      <c r="AX14">
        <v>-1</v>
      </c>
      <c r="AZ14">
        <v>225644</v>
      </c>
      <c r="BA14">
        <v>225644</v>
      </c>
      <c r="BB14">
        <v>204800</v>
      </c>
      <c r="BC14" t="s">
        <v>114</v>
      </c>
      <c r="BD14" t="s">
        <v>115</v>
      </c>
      <c r="BE14" t="s">
        <v>116</v>
      </c>
      <c r="BH14" t="b">
        <v>0</v>
      </c>
      <c r="BI14">
        <v>10000</v>
      </c>
      <c r="BJ14">
        <v>10000</v>
      </c>
      <c r="BK14" t="b">
        <v>0</v>
      </c>
      <c r="BL14" t="b">
        <v>0</v>
      </c>
      <c r="BN14" t="b">
        <v>0</v>
      </c>
      <c r="BO14" t="s">
        <v>117</v>
      </c>
      <c r="BP14">
        <v>19</v>
      </c>
      <c r="BQ14" t="s">
        <v>115</v>
      </c>
      <c r="BR14" t="s">
        <v>118</v>
      </c>
      <c r="BT14" t="s">
        <v>249</v>
      </c>
      <c r="BU14" t="s">
        <v>250</v>
      </c>
      <c r="BV14" t="s">
        <v>250</v>
      </c>
      <c r="BW14" t="s">
        <v>250</v>
      </c>
      <c r="BY14" t="s">
        <v>1500</v>
      </c>
      <c r="BZ14" t="s">
        <v>1501</v>
      </c>
      <c r="CH14" t="s">
        <v>121</v>
      </c>
      <c r="CI14" t="s">
        <v>239</v>
      </c>
      <c r="CJ14" t="s">
        <v>309</v>
      </c>
      <c r="CK14" t="s">
        <v>241</v>
      </c>
      <c r="CL14" t="s">
        <v>242</v>
      </c>
      <c r="CM14" t="s">
        <v>126</v>
      </c>
      <c r="CO14" t="s">
        <v>251</v>
      </c>
      <c r="CP14" t="s">
        <v>252</v>
      </c>
      <c r="CQ14" t="s">
        <v>253</v>
      </c>
      <c r="CR14" t="s">
        <v>1478</v>
      </c>
      <c r="CS14" t="s">
        <v>1331</v>
      </c>
      <c r="CT14" t="s">
        <v>130</v>
      </c>
      <c r="CU14" t="s">
        <v>131</v>
      </c>
    </row>
    <row r="15" spans="1:106">
      <c r="A15" t="s">
        <v>254</v>
      </c>
      <c r="B15" t="s">
        <v>99</v>
      </c>
      <c r="C15" t="b">
        <v>0</v>
      </c>
      <c r="D15" t="b">
        <v>0</v>
      </c>
      <c r="E15" t="s">
        <v>100</v>
      </c>
      <c r="F15" t="s">
        <v>255</v>
      </c>
      <c r="G15" t="s">
        <v>102</v>
      </c>
      <c r="H15" t="s">
        <v>103</v>
      </c>
      <c r="I15" t="s">
        <v>100</v>
      </c>
      <c r="J15" t="b">
        <v>0</v>
      </c>
      <c r="K15" s="41">
        <v>45540.749942129631</v>
      </c>
      <c r="N15">
        <v>0</v>
      </c>
      <c r="O15" s="41">
        <v>45394.598437499997</v>
      </c>
      <c r="P15" s="41">
        <v>45879.951655092591</v>
      </c>
      <c r="Q15" s="42">
        <v>8</v>
      </c>
      <c r="R15" t="s">
        <v>105</v>
      </c>
      <c r="S15" s="42">
        <v>16384</v>
      </c>
      <c r="T15">
        <v>163</v>
      </c>
      <c r="U15">
        <v>3</v>
      </c>
      <c r="V15">
        <v>1</v>
      </c>
      <c r="W15" s="42">
        <v>179200</v>
      </c>
      <c r="Y15" t="s">
        <v>229</v>
      </c>
      <c r="Z15" t="s">
        <v>106</v>
      </c>
      <c r="AC15" t="b">
        <v>1</v>
      </c>
      <c r="AD15" t="s">
        <v>256</v>
      </c>
      <c r="AE15" t="s">
        <v>231</v>
      </c>
      <c r="AF15" t="s">
        <v>232</v>
      </c>
      <c r="AG15" t="s">
        <v>233</v>
      </c>
      <c r="AM15">
        <v>1</v>
      </c>
      <c r="AN15">
        <v>4096</v>
      </c>
      <c r="AO15" t="s">
        <v>234</v>
      </c>
      <c r="AP15" t="s">
        <v>235</v>
      </c>
      <c r="AQ15" t="s">
        <v>236</v>
      </c>
      <c r="AS15" t="b">
        <v>1</v>
      </c>
      <c r="AT15" t="s">
        <v>113</v>
      </c>
      <c r="AV15" t="s">
        <v>104</v>
      </c>
      <c r="AW15">
        <v>-1</v>
      </c>
      <c r="AX15">
        <v>-1</v>
      </c>
      <c r="AZ15">
        <v>195870</v>
      </c>
      <c r="BA15">
        <v>195870</v>
      </c>
      <c r="BB15">
        <v>179200</v>
      </c>
      <c r="BC15" t="s">
        <v>114</v>
      </c>
      <c r="BD15" t="s">
        <v>115</v>
      </c>
      <c r="BE15" t="s">
        <v>116</v>
      </c>
      <c r="BH15" t="b">
        <v>0</v>
      </c>
      <c r="BI15">
        <v>0</v>
      </c>
      <c r="BJ15">
        <v>10000</v>
      </c>
      <c r="BK15" t="b">
        <v>0</v>
      </c>
      <c r="BL15" t="b">
        <v>0</v>
      </c>
      <c r="BN15" t="b">
        <v>0</v>
      </c>
      <c r="BO15" t="s">
        <v>117</v>
      </c>
      <c r="BP15">
        <v>19</v>
      </c>
      <c r="BQ15" t="s">
        <v>115</v>
      </c>
      <c r="BR15" t="s">
        <v>118</v>
      </c>
      <c r="BT15" t="s">
        <v>257</v>
      </c>
      <c r="BU15" t="s">
        <v>258</v>
      </c>
      <c r="BV15" t="s">
        <v>258</v>
      </c>
      <c r="BW15" t="s">
        <v>258</v>
      </c>
      <c r="BY15" t="s">
        <v>1502</v>
      </c>
      <c r="BZ15" t="s">
        <v>1503</v>
      </c>
      <c r="CH15" t="s">
        <v>121</v>
      </c>
      <c r="CI15" t="s">
        <v>239</v>
      </c>
      <c r="CJ15" t="s">
        <v>309</v>
      </c>
      <c r="CK15" t="s">
        <v>241</v>
      </c>
      <c r="CL15" t="s">
        <v>242</v>
      </c>
      <c r="CM15" t="s">
        <v>126</v>
      </c>
      <c r="CO15" t="s">
        <v>260</v>
      </c>
      <c r="CP15" t="s">
        <v>261</v>
      </c>
      <c r="CQ15" t="s">
        <v>262</v>
      </c>
      <c r="CR15" t="s">
        <v>1478</v>
      </c>
      <c r="CS15" t="s">
        <v>1331</v>
      </c>
      <c r="CT15" t="s">
        <v>130</v>
      </c>
      <c r="CU15" t="s">
        <v>131</v>
      </c>
    </row>
    <row r="16" spans="1:106">
      <c r="A16" t="s">
        <v>263</v>
      </c>
      <c r="B16" t="s">
        <v>99</v>
      </c>
      <c r="C16" t="b">
        <v>0</v>
      </c>
      <c r="D16" t="b">
        <v>0</v>
      </c>
      <c r="E16" t="s">
        <v>100</v>
      </c>
      <c r="F16" t="s">
        <v>264</v>
      </c>
      <c r="G16" t="s">
        <v>102</v>
      </c>
      <c r="H16" t="s">
        <v>103</v>
      </c>
      <c r="I16" t="s">
        <v>100</v>
      </c>
      <c r="J16" t="b">
        <v>0</v>
      </c>
      <c r="K16" s="41">
        <v>45541.695196759261</v>
      </c>
      <c r="N16">
        <v>0</v>
      </c>
      <c r="O16" s="41">
        <v>45394.599560185183</v>
      </c>
      <c r="P16" s="41">
        <v>45908.001643518517</v>
      </c>
      <c r="Q16" s="42">
        <v>8</v>
      </c>
      <c r="R16" t="s">
        <v>105</v>
      </c>
      <c r="S16" s="42">
        <v>20480</v>
      </c>
      <c r="T16">
        <v>1843</v>
      </c>
      <c r="U16">
        <v>3</v>
      </c>
      <c r="V16">
        <v>1</v>
      </c>
      <c r="W16" s="42">
        <v>204800</v>
      </c>
      <c r="Y16" t="s">
        <v>229</v>
      </c>
      <c r="Z16" t="s">
        <v>106</v>
      </c>
      <c r="AC16" t="b">
        <v>1</v>
      </c>
      <c r="AD16" t="s">
        <v>265</v>
      </c>
      <c r="AE16" t="s">
        <v>231</v>
      </c>
      <c r="AF16" t="s">
        <v>232</v>
      </c>
      <c r="AG16" t="s">
        <v>233</v>
      </c>
      <c r="AM16">
        <v>1</v>
      </c>
      <c r="AN16">
        <v>4096</v>
      </c>
      <c r="AO16" t="s">
        <v>234</v>
      </c>
      <c r="AP16" t="s">
        <v>235</v>
      </c>
      <c r="AQ16" t="s">
        <v>236</v>
      </c>
      <c r="AS16" t="b">
        <v>1</v>
      </c>
      <c r="AT16" t="s">
        <v>113</v>
      </c>
      <c r="AV16" t="s">
        <v>104</v>
      </c>
      <c r="AW16">
        <v>-1</v>
      </c>
      <c r="AX16">
        <v>-1</v>
      </c>
      <c r="AZ16">
        <v>225980</v>
      </c>
      <c r="BA16">
        <v>225980</v>
      </c>
      <c r="BB16">
        <v>204800</v>
      </c>
      <c r="BC16" t="s">
        <v>114</v>
      </c>
      <c r="BD16" t="s">
        <v>115</v>
      </c>
      <c r="BE16" t="s">
        <v>116</v>
      </c>
      <c r="BH16" t="b">
        <v>0</v>
      </c>
      <c r="BI16">
        <v>0</v>
      </c>
      <c r="BJ16">
        <v>10000</v>
      </c>
      <c r="BK16" t="b">
        <v>0</v>
      </c>
      <c r="BL16" t="b">
        <v>0</v>
      </c>
      <c r="BN16" t="b">
        <v>0</v>
      </c>
      <c r="BO16" t="s">
        <v>117</v>
      </c>
      <c r="BP16">
        <v>19</v>
      </c>
      <c r="BQ16" t="s">
        <v>115</v>
      </c>
      <c r="BR16" t="s">
        <v>118</v>
      </c>
      <c r="BT16" t="s">
        <v>266</v>
      </c>
      <c r="BU16" t="s">
        <v>267</v>
      </c>
      <c r="BV16" t="s">
        <v>267</v>
      </c>
      <c r="BW16" t="s">
        <v>267</v>
      </c>
      <c r="BY16" t="s">
        <v>1504</v>
      </c>
      <c r="BZ16" t="s">
        <v>1505</v>
      </c>
      <c r="CH16" t="s">
        <v>121</v>
      </c>
      <c r="CI16" t="s">
        <v>239</v>
      </c>
      <c r="CJ16" t="s">
        <v>312</v>
      </c>
      <c r="CK16" t="s">
        <v>241</v>
      </c>
      <c r="CL16" t="s">
        <v>242</v>
      </c>
      <c r="CM16" t="s">
        <v>126</v>
      </c>
      <c r="CO16" t="s">
        <v>268</v>
      </c>
      <c r="CP16" t="s">
        <v>269</v>
      </c>
      <c r="CQ16" t="s">
        <v>270</v>
      </c>
      <c r="CR16" t="s">
        <v>1478</v>
      </c>
      <c r="CS16" t="s">
        <v>1331</v>
      </c>
      <c r="CT16" t="s">
        <v>130</v>
      </c>
      <c r="CU16" t="s">
        <v>131</v>
      </c>
    </row>
    <row r="17" spans="1:99">
      <c r="A17" t="s">
        <v>271</v>
      </c>
      <c r="B17" t="s">
        <v>99</v>
      </c>
      <c r="C17" t="b">
        <v>0</v>
      </c>
      <c r="D17" t="b">
        <v>0</v>
      </c>
      <c r="E17" t="s">
        <v>100</v>
      </c>
      <c r="F17" t="s">
        <v>272</v>
      </c>
      <c r="G17" t="s">
        <v>102</v>
      </c>
      <c r="H17" t="s">
        <v>103</v>
      </c>
      <c r="I17" t="s">
        <v>100</v>
      </c>
      <c r="J17" t="b">
        <v>0</v>
      </c>
      <c r="K17" s="41">
        <v>45540.749398148153</v>
      </c>
      <c r="N17">
        <v>0</v>
      </c>
      <c r="O17" s="41">
        <v>45394.601678240739</v>
      </c>
      <c r="P17" s="41">
        <v>45874.741782407407</v>
      </c>
      <c r="Q17" s="42">
        <v>8</v>
      </c>
      <c r="R17" t="s">
        <v>105</v>
      </c>
      <c r="S17" s="42">
        <v>16384</v>
      </c>
      <c r="T17">
        <v>327</v>
      </c>
      <c r="U17">
        <v>3</v>
      </c>
      <c r="V17">
        <v>1</v>
      </c>
      <c r="W17" s="42">
        <v>179200</v>
      </c>
      <c r="Y17" t="s">
        <v>229</v>
      </c>
      <c r="Z17" t="s">
        <v>106</v>
      </c>
      <c r="AC17" t="b">
        <v>1</v>
      </c>
      <c r="AD17" t="s">
        <v>273</v>
      </c>
      <c r="AE17" t="s">
        <v>231</v>
      </c>
      <c r="AF17" t="s">
        <v>232</v>
      </c>
      <c r="AG17" t="s">
        <v>233</v>
      </c>
      <c r="AM17">
        <v>1</v>
      </c>
      <c r="AN17">
        <v>4096</v>
      </c>
      <c r="AO17" t="s">
        <v>234</v>
      </c>
      <c r="AP17" t="s">
        <v>235</v>
      </c>
      <c r="AQ17" t="s">
        <v>236</v>
      </c>
      <c r="AS17" t="b">
        <v>1</v>
      </c>
      <c r="AT17" t="s">
        <v>113</v>
      </c>
      <c r="AV17" t="s">
        <v>104</v>
      </c>
      <c r="AW17">
        <v>-1</v>
      </c>
      <c r="AX17">
        <v>-1</v>
      </c>
      <c r="AZ17">
        <v>195944</v>
      </c>
      <c r="BA17">
        <v>195944</v>
      </c>
      <c r="BB17">
        <v>179200</v>
      </c>
      <c r="BC17" t="s">
        <v>114</v>
      </c>
      <c r="BD17" t="s">
        <v>115</v>
      </c>
      <c r="BE17" t="s">
        <v>116</v>
      </c>
      <c r="BH17" t="b">
        <v>0</v>
      </c>
      <c r="BI17">
        <v>0</v>
      </c>
      <c r="BJ17">
        <v>10000</v>
      </c>
      <c r="BK17" t="b">
        <v>0</v>
      </c>
      <c r="BL17" t="b">
        <v>0</v>
      </c>
      <c r="BN17" t="b">
        <v>0</v>
      </c>
      <c r="BO17" t="s">
        <v>117</v>
      </c>
      <c r="BP17">
        <v>19</v>
      </c>
      <c r="BQ17" t="s">
        <v>115</v>
      </c>
      <c r="BR17" t="s">
        <v>118</v>
      </c>
      <c r="BT17" t="s">
        <v>274</v>
      </c>
      <c r="BU17" t="s">
        <v>275</v>
      </c>
      <c r="BV17" t="s">
        <v>275</v>
      </c>
      <c r="BW17" t="s">
        <v>275</v>
      </c>
      <c r="BY17" t="s">
        <v>1506</v>
      </c>
      <c r="BZ17" t="s">
        <v>1507</v>
      </c>
      <c r="CH17" t="s">
        <v>121</v>
      </c>
      <c r="CI17" t="s">
        <v>239</v>
      </c>
      <c r="CJ17" t="s">
        <v>309</v>
      </c>
      <c r="CK17" t="s">
        <v>241</v>
      </c>
      <c r="CL17" t="s">
        <v>242</v>
      </c>
      <c r="CM17" t="s">
        <v>126</v>
      </c>
      <c r="CO17" t="s">
        <v>277</v>
      </c>
      <c r="CP17" t="s">
        <v>278</v>
      </c>
      <c r="CQ17" t="s">
        <v>279</v>
      </c>
      <c r="CR17" t="s">
        <v>1478</v>
      </c>
      <c r="CS17" t="s">
        <v>1331</v>
      </c>
      <c r="CT17" t="s">
        <v>130</v>
      </c>
      <c r="CU17" t="s">
        <v>131</v>
      </c>
    </row>
    <row r="18" spans="1:99">
      <c r="A18" t="s">
        <v>280</v>
      </c>
      <c r="B18" t="s">
        <v>99</v>
      </c>
      <c r="C18" t="b">
        <v>0</v>
      </c>
      <c r="D18" t="b">
        <v>0</v>
      </c>
      <c r="E18" t="s">
        <v>100</v>
      </c>
      <c r="F18" t="s">
        <v>281</v>
      </c>
      <c r="G18" t="s">
        <v>102</v>
      </c>
      <c r="H18" t="s">
        <v>103</v>
      </c>
      <c r="I18" t="s">
        <v>100</v>
      </c>
      <c r="J18" t="b">
        <v>0</v>
      </c>
      <c r="K18" s="41">
        <v>45540.932106481479</v>
      </c>
      <c r="N18">
        <v>0</v>
      </c>
      <c r="O18" s="41">
        <v>45400.720208333332</v>
      </c>
      <c r="P18" s="41">
        <v>45910.148993055547</v>
      </c>
      <c r="Q18" s="42">
        <v>8</v>
      </c>
      <c r="R18" t="s">
        <v>105</v>
      </c>
      <c r="S18" s="42">
        <v>16384</v>
      </c>
      <c r="T18">
        <v>163</v>
      </c>
      <c r="U18">
        <v>3</v>
      </c>
      <c r="V18">
        <v>1</v>
      </c>
      <c r="W18" s="42">
        <v>179200</v>
      </c>
      <c r="Y18" t="s">
        <v>229</v>
      </c>
      <c r="Z18" t="s">
        <v>106</v>
      </c>
      <c r="AC18" t="b">
        <v>1</v>
      </c>
      <c r="AD18" t="s">
        <v>282</v>
      </c>
      <c r="AE18" t="s">
        <v>231</v>
      </c>
      <c r="AF18" t="s">
        <v>232</v>
      </c>
      <c r="AG18" t="s">
        <v>233</v>
      </c>
      <c r="AM18">
        <v>1</v>
      </c>
      <c r="AN18">
        <v>4096</v>
      </c>
      <c r="AO18" t="s">
        <v>234</v>
      </c>
      <c r="AP18" t="s">
        <v>144</v>
      </c>
      <c r="AQ18" t="s">
        <v>145</v>
      </c>
      <c r="AS18" t="b">
        <v>1</v>
      </c>
      <c r="AT18" t="s">
        <v>113</v>
      </c>
      <c r="AV18" t="s">
        <v>104</v>
      </c>
      <c r="AW18">
        <v>-1</v>
      </c>
      <c r="AX18">
        <v>-1</v>
      </c>
      <c r="AZ18">
        <v>196273</v>
      </c>
      <c r="BA18">
        <v>196273</v>
      </c>
      <c r="BB18">
        <v>179200</v>
      </c>
      <c r="BC18" t="s">
        <v>114</v>
      </c>
      <c r="BD18" t="s">
        <v>115</v>
      </c>
      <c r="BE18" t="s">
        <v>116</v>
      </c>
      <c r="BH18" t="b">
        <v>0</v>
      </c>
      <c r="BI18">
        <v>0</v>
      </c>
      <c r="BJ18">
        <v>10000</v>
      </c>
      <c r="BK18" t="b">
        <v>0</v>
      </c>
      <c r="BL18" t="b">
        <v>0</v>
      </c>
      <c r="BN18" t="b">
        <v>0</v>
      </c>
      <c r="BO18" t="s">
        <v>117</v>
      </c>
      <c r="BP18">
        <v>19</v>
      </c>
      <c r="BQ18" t="s">
        <v>115</v>
      </c>
      <c r="BR18" t="s">
        <v>118</v>
      </c>
      <c r="BT18" t="s">
        <v>1508</v>
      </c>
      <c r="BU18" t="s">
        <v>1509</v>
      </c>
      <c r="BV18" t="s">
        <v>1509</v>
      </c>
      <c r="BW18" t="s">
        <v>1509</v>
      </c>
      <c r="BY18" t="s">
        <v>1510</v>
      </c>
      <c r="BZ18" t="s">
        <v>1511</v>
      </c>
      <c r="CH18" t="s">
        <v>121</v>
      </c>
      <c r="CI18" t="s">
        <v>239</v>
      </c>
      <c r="CJ18" t="s">
        <v>378</v>
      </c>
      <c r="CK18" t="s">
        <v>241</v>
      </c>
      <c r="CL18" t="s">
        <v>242</v>
      </c>
      <c r="CM18" t="s">
        <v>126</v>
      </c>
      <c r="CO18" t="s">
        <v>283</v>
      </c>
      <c r="CP18" t="s">
        <v>284</v>
      </c>
      <c r="CQ18" t="s">
        <v>285</v>
      </c>
      <c r="CR18" t="s">
        <v>1478</v>
      </c>
      <c r="CS18" t="s">
        <v>1331</v>
      </c>
      <c r="CT18" t="s">
        <v>130</v>
      </c>
      <c r="CU18" t="s">
        <v>131</v>
      </c>
    </row>
    <row r="19" spans="1:99">
      <c r="A19" t="s">
        <v>286</v>
      </c>
      <c r="B19" t="s">
        <v>99</v>
      </c>
      <c r="C19" t="b">
        <v>0</v>
      </c>
      <c r="D19" t="b">
        <v>0</v>
      </c>
      <c r="E19" t="s">
        <v>100</v>
      </c>
      <c r="F19" t="s">
        <v>287</v>
      </c>
      <c r="G19" t="s">
        <v>102</v>
      </c>
      <c r="H19" t="s">
        <v>103</v>
      </c>
      <c r="I19" t="s">
        <v>100</v>
      </c>
      <c r="J19" t="b">
        <v>0</v>
      </c>
      <c r="K19" s="41">
        <v>45548.719826388893</v>
      </c>
      <c r="N19">
        <v>0</v>
      </c>
      <c r="O19" s="41">
        <v>45404.509930555563</v>
      </c>
      <c r="P19" s="41">
        <v>45908.021423611113</v>
      </c>
      <c r="Q19" s="42">
        <v>2</v>
      </c>
      <c r="R19" t="s">
        <v>105</v>
      </c>
      <c r="S19" s="42">
        <v>16384</v>
      </c>
      <c r="T19">
        <v>1966</v>
      </c>
      <c r="U19">
        <v>3</v>
      </c>
      <c r="V19">
        <v>1</v>
      </c>
      <c r="W19" s="42">
        <v>204800</v>
      </c>
      <c r="Y19" t="s">
        <v>229</v>
      </c>
      <c r="Z19" t="s">
        <v>106</v>
      </c>
      <c r="AC19" t="b">
        <v>1</v>
      </c>
      <c r="AD19" t="s">
        <v>288</v>
      </c>
      <c r="AE19" t="s">
        <v>231</v>
      </c>
      <c r="AF19" t="s">
        <v>232</v>
      </c>
      <c r="AG19" t="s">
        <v>233</v>
      </c>
      <c r="AM19">
        <v>1</v>
      </c>
      <c r="AN19">
        <v>8192</v>
      </c>
      <c r="AO19" t="s">
        <v>234</v>
      </c>
      <c r="AP19" t="s">
        <v>144</v>
      </c>
      <c r="AQ19" t="s">
        <v>145</v>
      </c>
      <c r="AS19" t="b">
        <v>1</v>
      </c>
      <c r="AT19" t="s">
        <v>113</v>
      </c>
      <c r="AV19" t="s">
        <v>104</v>
      </c>
      <c r="AW19">
        <v>-1</v>
      </c>
      <c r="AX19">
        <v>-1</v>
      </c>
      <c r="AZ19">
        <v>221499</v>
      </c>
      <c r="BA19">
        <v>221499</v>
      </c>
      <c r="BB19">
        <v>204800</v>
      </c>
      <c r="BC19" t="s">
        <v>114</v>
      </c>
      <c r="BD19" t="s">
        <v>115</v>
      </c>
      <c r="BE19" t="s">
        <v>116</v>
      </c>
      <c r="BH19" t="b">
        <v>0</v>
      </c>
      <c r="BI19">
        <v>10000</v>
      </c>
      <c r="BJ19">
        <v>10000</v>
      </c>
      <c r="BK19" t="b">
        <v>0</v>
      </c>
      <c r="BL19" t="b">
        <v>0</v>
      </c>
      <c r="BN19" t="b">
        <v>0</v>
      </c>
      <c r="BO19" t="s">
        <v>117</v>
      </c>
      <c r="BP19">
        <v>19</v>
      </c>
      <c r="BQ19" t="s">
        <v>115</v>
      </c>
      <c r="BR19" t="s">
        <v>118</v>
      </c>
      <c r="BT19" t="s">
        <v>289</v>
      </c>
      <c r="BU19" t="s">
        <v>290</v>
      </c>
      <c r="BV19" t="s">
        <v>290</v>
      </c>
      <c r="BW19" t="s">
        <v>290</v>
      </c>
      <c r="BY19" t="s">
        <v>1512</v>
      </c>
      <c r="BZ19" t="s">
        <v>1513</v>
      </c>
      <c r="CH19" t="s">
        <v>121</v>
      </c>
      <c r="CI19" t="s">
        <v>239</v>
      </c>
      <c r="CJ19" t="s">
        <v>276</v>
      </c>
      <c r="CK19" t="s">
        <v>291</v>
      </c>
      <c r="CL19" t="s">
        <v>242</v>
      </c>
      <c r="CM19" t="s">
        <v>126</v>
      </c>
      <c r="CO19" t="s">
        <v>292</v>
      </c>
      <c r="CP19" t="s">
        <v>293</v>
      </c>
      <c r="CQ19" t="s">
        <v>294</v>
      </c>
      <c r="CR19" t="s">
        <v>1478</v>
      </c>
      <c r="CS19" t="s">
        <v>1331</v>
      </c>
      <c r="CT19" t="s">
        <v>130</v>
      </c>
      <c r="CU19" t="s">
        <v>131</v>
      </c>
    </row>
    <row r="20" spans="1:99">
      <c r="A20" t="s">
        <v>295</v>
      </c>
      <c r="B20" t="s">
        <v>99</v>
      </c>
      <c r="C20" t="b">
        <v>0</v>
      </c>
      <c r="D20" t="b">
        <v>0</v>
      </c>
      <c r="E20" t="s">
        <v>100</v>
      </c>
      <c r="F20" t="s">
        <v>296</v>
      </c>
      <c r="G20" t="s">
        <v>102</v>
      </c>
      <c r="H20" t="s">
        <v>103</v>
      </c>
      <c r="I20" t="s">
        <v>100</v>
      </c>
      <c r="J20" t="b">
        <v>0</v>
      </c>
      <c r="K20" s="41">
        <v>45548.709791666668</v>
      </c>
      <c r="N20">
        <v>0</v>
      </c>
      <c r="O20" s="41">
        <v>45400.734212962961</v>
      </c>
      <c r="P20" s="41">
        <v>45908.002256944441</v>
      </c>
      <c r="Q20" s="42">
        <v>8</v>
      </c>
      <c r="R20" t="s">
        <v>105</v>
      </c>
      <c r="S20" s="42">
        <v>20480</v>
      </c>
      <c r="T20">
        <v>3072</v>
      </c>
      <c r="U20">
        <v>3</v>
      </c>
      <c r="V20">
        <v>1</v>
      </c>
      <c r="W20" s="42">
        <v>204800</v>
      </c>
      <c r="Y20" t="s">
        <v>229</v>
      </c>
      <c r="Z20" t="s">
        <v>106</v>
      </c>
      <c r="AC20" t="b">
        <v>1</v>
      </c>
      <c r="AD20" t="s">
        <v>297</v>
      </c>
      <c r="AE20" t="s">
        <v>231</v>
      </c>
      <c r="AF20" t="s">
        <v>232</v>
      </c>
      <c r="AG20" t="s">
        <v>233</v>
      </c>
      <c r="AM20">
        <v>1</v>
      </c>
      <c r="AN20">
        <v>4096</v>
      </c>
      <c r="AO20" t="s">
        <v>234</v>
      </c>
      <c r="AP20" t="s">
        <v>144</v>
      </c>
      <c r="AQ20" t="s">
        <v>145</v>
      </c>
      <c r="AS20" t="b">
        <v>1</v>
      </c>
      <c r="AT20" t="s">
        <v>113</v>
      </c>
      <c r="AV20" t="s">
        <v>104</v>
      </c>
      <c r="AW20">
        <v>-1</v>
      </c>
      <c r="AX20">
        <v>-1</v>
      </c>
      <c r="AZ20">
        <v>225870</v>
      </c>
      <c r="BA20">
        <v>225870</v>
      </c>
      <c r="BB20">
        <v>204800</v>
      </c>
      <c r="BC20" t="s">
        <v>114</v>
      </c>
      <c r="BD20" t="s">
        <v>115</v>
      </c>
      <c r="BE20" t="s">
        <v>116</v>
      </c>
      <c r="BH20" t="b">
        <v>0</v>
      </c>
      <c r="BI20">
        <v>0</v>
      </c>
      <c r="BJ20">
        <v>10000</v>
      </c>
      <c r="BK20" t="b">
        <v>0</v>
      </c>
      <c r="BL20" t="b">
        <v>0</v>
      </c>
      <c r="BN20" t="b">
        <v>0</v>
      </c>
      <c r="BO20" t="s">
        <v>117</v>
      </c>
      <c r="BP20">
        <v>19</v>
      </c>
      <c r="BQ20" t="s">
        <v>115</v>
      </c>
      <c r="BR20" t="s">
        <v>118</v>
      </c>
      <c r="BT20" t="s">
        <v>298</v>
      </c>
      <c r="BU20" t="s">
        <v>299</v>
      </c>
      <c r="BV20" t="s">
        <v>299</v>
      </c>
      <c r="BW20" t="s">
        <v>299</v>
      </c>
      <c r="BY20" t="s">
        <v>1514</v>
      </c>
      <c r="BZ20" t="s">
        <v>1515</v>
      </c>
      <c r="CH20" t="s">
        <v>121</v>
      </c>
      <c r="CI20" t="s">
        <v>239</v>
      </c>
      <c r="CJ20" t="s">
        <v>1402</v>
      </c>
      <c r="CK20" t="s">
        <v>241</v>
      </c>
      <c r="CL20" t="s">
        <v>242</v>
      </c>
      <c r="CM20" t="s">
        <v>126</v>
      </c>
      <c r="CO20" t="s">
        <v>300</v>
      </c>
      <c r="CP20" t="s">
        <v>301</v>
      </c>
      <c r="CQ20" t="s">
        <v>302</v>
      </c>
      <c r="CR20" t="s">
        <v>1478</v>
      </c>
      <c r="CS20" t="s">
        <v>1331</v>
      </c>
      <c r="CT20" t="s">
        <v>130</v>
      </c>
      <c r="CU20" t="s">
        <v>131</v>
      </c>
    </row>
    <row r="21" spans="1:99">
      <c r="A21" t="s">
        <v>303</v>
      </c>
      <c r="B21" t="s">
        <v>99</v>
      </c>
      <c r="C21" t="b">
        <v>0</v>
      </c>
      <c r="D21" t="b">
        <v>0</v>
      </c>
      <c r="E21" t="s">
        <v>100</v>
      </c>
      <c r="F21" t="s">
        <v>1516</v>
      </c>
      <c r="G21" t="s">
        <v>102</v>
      </c>
      <c r="H21" t="s">
        <v>103</v>
      </c>
      <c r="I21" t="s">
        <v>100</v>
      </c>
      <c r="J21" t="b">
        <v>0</v>
      </c>
      <c r="K21" s="41">
        <v>45910.758611111109</v>
      </c>
      <c r="N21">
        <v>0</v>
      </c>
      <c r="O21" s="41">
        <v>45756.692037037043</v>
      </c>
      <c r="P21" s="41">
        <v>45930.332870370366</v>
      </c>
      <c r="Q21" s="42">
        <v>2</v>
      </c>
      <c r="R21" t="s">
        <v>105</v>
      </c>
      <c r="S21" s="42">
        <v>4096</v>
      </c>
      <c r="T21">
        <v>450</v>
      </c>
      <c r="U21">
        <v>3</v>
      </c>
      <c r="V21">
        <v>1</v>
      </c>
      <c r="W21" s="42">
        <v>105472</v>
      </c>
      <c r="Y21" t="s">
        <v>229</v>
      </c>
      <c r="Z21" t="s">
        <v>106</v>
      </c>
      <c r="AC21" t="b">
        <v>1</v>
      </c>
      <c r="AD21" t="s">
        <v>1299</v>
      </c>
      <c r="AE21" t="s">
        <v>232</v>
      </c>
      <c r="AF21" t="s">
        <v>231</v>
      </c>
      <c r="AG21" t="s">
        <v>233</v>
      </c>
      <c r="AM21">
        <v>1</v>
      </c>
      <c r="AN21">
        <v>8192</v>
      </c>
      <c r="AO21" t="s">
        <v>1517</v>
      </c>
      <c r="AP21" t="s">
        <v>144</v>
      </c>
      <c r="AQ21" t="s">
        <v>145</v>
      </c>
      <c r="AS21" t="b">
        <v>1</v>
      </c>
      <c r="AT21" t="s">
        <v>113</v>
      </c>
      <c r="AV21" t="s">
        <v>104</v>
      </c>
      <c r="AW21">
        <v>-1</v>
      </c>
      <c r="AX21">
        <v>-1</v>
      </c>
      <c r="AZ21">
        <v>109737</v>
      </c>
      <c r="BA21">
        <v>109737</v>
      </c>
      <c r="BB21">
        <v>105472</v>
      </c>
      <c r="BC21" t="s">
        <v>114</v>
      </c>
      <c r="BD21" t="s">
        <v>115</v>
      </c>
      <c r="BE21" t="s">
        <v>116</v>
      </c>
      <c r="BH21" t="b">
        <v>0</v>
      </c>
      <c r="BI21">
        <v>0</v>
      </c>
      <c r="BJ21">
        <v>10000</v>
      </c>
      <c r="BK21" t="b">
        <v>0</v>
      </c>
      <c r="BL21" t="b">
        <v>0</v>
      </c>
      <c r="BN21" t="b">
        <v>0</v>
      </c>
      <c r="BO21" t="s">
        <v>117</v>
      </c>
      <c r="BP21">
        <v>19</v>
      </c>
      <c r="BQ21" t="s">
        <v>115</v>
      </c>
      <c r="BR21" t="s">
        <v>118</v>
      </c>
      <c r="BT21" t="s">
        <v>1300</v>
      </c>
      <c r="BU21" t="s">
        <v>1301</v>
      </c>
      <c r="BV21" t="s">
        <v>1301</v>
      </c>
      <c r="BW21" t="s">
        <v>1301</v>
      </c>
      <c r="BX21" t="s">
        <v>1302</v>
      </c>
      <c r="BY21" t="s">
        <v>1518</v>
      </c>
      <c r="BZ21" t="s">
        <v>1519</v>
      </c>
      <c r="CH21" t="s">
        <v>121</v>
      </c>
      <c r="CI21" t="s">
        <v>239</v>
      </c>
      <c r="CJ21" t="s">
        <v>309</v>
      </c>
      <c r="CK21" t="s">
        <v>149</v>
      </c>
      <c r="CL21" t="s">
        <v>170</v>
      </c>
      <c r="CM21" t="s">
        <v>126</v>
      </c>
      <c r="CO21" t="s">
        <v>1303</v>
      </c>
      <c r="CP21" t="s">
        <v>1304</v>
      </c>
      <c r="CQ21" t="s">
        <v>1305</v>
      </c>
      <c r="CR21" t="s">
        <v>1478</v>
      </c>
      <c r="CS21" t="s">
        <v>1331</v>
      </c>
      <c r="CT21" t="s">
        <v>130</v>
      </c>
      <c r="CU21" t="s">
        <v>131</v>
      </c>
    </row>
    <row r="22" spans="1:99">
      <c r="A22" t="s">
        <v>306</v>
      </c>
      <c r="B22" t="s">
        <v>99</v>
      </c>
      <c r="C22" t="b">
        <v>0</v>
      </c>
      <c r="D22" t="b">
        <v>0</v>
      </c>
      <c r="E22" t="s">
        <v>100</v>
      </c>
      <c r="F22" t="s">
        <v>1271</v>
      </c>
      <c r="G22" t="s">
        <v>102</v>
      </c>
      <c r="H22" t="s">
        <v>103</v>
      </c>
      <c r="I22" t="s">
        <v>100</v>
      </c>
      <c r="J22" t="b">
        <v>0</v>
      </c>
      <c r="K22" s="41">
        <v>45897.657048611109</v>
      </c>
      <c r="N22">
        <v>0</v>
      </c>
      <c r="O22" s="41">
        <v>45727.509733796287</v>
      </c>
      <c r="P22" s="41">
        <v>45929.358900462961</v>
      </c>
      <c r="Q22" s="42">
        <v>4</v>
      </c>
      <c r="R22" t="s">
        <v>105</v>
      </c>
      <c r="S22" s="42">
        <v>6144</v>
      </c>
      <c r="T22">
        <v>1781</v>
      </c>
      <c r="U22">
        <v>2</v>
      </c>
      <c r="V22">
        <v>1</v>
      </c>
      <c r="W22" s="42">
        <v>51200</v>
      </c>
      <c r="Y22" t="s">
        <v>229</v>
      </c>
      <c r="Z22" t="s">
        <v>106</v>
      </c>
      <c r="AC22" t="b">
        <v>1</v>
      </c>
      <c r="AD22" t="s">
        <v>1274</v>
      </c>
      <c r="AE22" t="s">
        <v>307</v>
      </c>
      <c r="AF22" t="s">
        <v>308</v>
      </c>
      <c r="AM22">
        <v>1</v>
      </c>
      <c r="AN22">
        <v>8192</v>
      </c>
      <c r="AO22" t="s">
        <v>1517</v>
      </c>
      <c r="AP22" t="s">
        <v>144</v>
      </c>
      <c r="AQ22" t="s">
        <v>145</v>
      </c>
      <c r="AS22" t="b">
        <v>1</v>
      </c>
      <c r="AT22" t="s">
        <v>113</v>
      </c>
      <c r="AV22" t="s">
        <v>104</v>
      </c>
      <c r="AW22">
        <v>-1</v>
      </c>
      <c r="AX22">
        <v>-1</v>
      </c>
      <c r="AZ22">
        <v>51305</v>
      </c>
      <c r="BA22">
        <v>51305</v>
      </c>
      <c r="BB22">
        <v>51200</v>
      </c>
      <c r="BC22" t="s">
        <v>114</v>
      </c>
      <c r="BD22" t="s">
        <v>115</v>
      </c>
      <c r="BE22" t="s">
        <v>116</v>
      </c>
      <c r="BH22" t="b">
        <v>0</v>
      </c>
      <c r="BI22">
        <v>0</v>
      </c>
      <c r="BJ22">
        <v>10000</v>
      </c>
      <c r="BK22" t="b">
        <v>0</v>
      </c>
      <c r="BL22" t="b">
        <v>0</v>
      </c>
      <c r="BN22" t="b">
        <v>0</v>
      </c>
      <c r="BO22" t="s">
        <v>117</v>
      </c>
      <c r="BP22">
        <v>18</v>
      </c>
      <c r="BQ22" t="s">
        <v>115</v>
      </c>
      <c r="BR22" t="s">
        <v>118</v>
      </c>
      <c r="BT22" t="s">
        <v>1275</v>
      </c>
      <c r="BU22" t="s">
        <v>1276</v>
      </c>
      <c r="BV22" t="s">
        <v>1276</v>
      </c>
      <c r="BW22" t="s">
        <v>1276</v>
      </c>
      <c r="BY22" t="s">
        <v>1520</v>
      </c>
      <c r="BZ22" t="s">
        <v>1521</v>
      </c>
      <c r="CH22" t="s">
        <v>121</v>
      </c>
      <c r="CI22" t="s">
        <v>239</v>
      </c>
      <c r="CJ22" t="s">
        <v>1298</v>
      </c>
      <c r="CK22" t="s">
        <v>170</v>
      </c>
      <c r="CL22" t="s">
        <v>170</v>
      </c>
      <c r="CM22" t="s">
        <v>126</v>
      </c>
      <c r="CO22" t="s">
        <v>1277</v>
      </c>
      <c r="CP22" t="s">
        <v>1278</v>
      </c>
      <c r="CQ22" t="s">
        <v>1279</v>
      </c>
      <c r="CR22" t="s">
        <v>1478</v>
      </c>
      <c r="CS22" t="s">
        <v>1331</v>
      </c>
      <c r="CT22" t="s">
        <v>130</v>
      </c>
      <c r="CU22" t="s">
        <v>131</v>
      </c>
    </row>
    <row r="23" spans="1:99">
      <c r="A23" t="s">
        <v>310</v>
      </c>
      <c r="B23" t="s">
        <v>99</v>
      </c>
      <c r="C23" t="b">
        <v>0</v>
      </c>
      <c r="D23" t="b">
        <v>0</v>
      </c>
      <c r="E23" t="s">
        <v>100</v>
      </c>
      <c r="F23" t="s">
        <v>1344</v>
      </c>
      <c r="G23" t="s">
        <v>102</v>
      </c>
      <c r="H23" t="s">
        <v>103</v>
      </c>
      <c r="I23" t="s">
        <v>100</v>
      </c>
      <c r="J23" t="b">
        <v>0</v>
      </c>
      <c r="K23" s="41">
        <v>45897.651921296303</v>
      </c>
      <c r="N23">
        <v>0</v>
      </c>
      <c r="O23" s="41">
        <v>45730.511099537027</v>
      </c>
      <c r="P23" s="41">
        <v>45917.445636574077</v>
      </c>
      <c r="Q23" s="42">
        <v>6</v>
      </c>
      <c r="R23" t="s">
        <v>105</v>
      </c>
      <c r="S23" s="42">
        <v>26624</v>
      </c>
      <c r="T23">
        <v>798</v>
      </c>
      <c r="U23">
        <v>2</v>
      </c>
      <c r="V23">
        <v>2</v>
      </c>
      <c r="W23" s="42">
        <v>143360</v>
      </c>
      <c r="Y23" t="s">
        <v>229</v>
      </c>
      <c r="Z23" t="s">
        <v>106</v>
      </c>
      <c r="AC23" t="b">
        <v>1</v>
      </c>
      <c r="AD23" t="s">
        <v>1394</v>
      </c>
      <c r="AE23" t="s">
        <v>307</v>
      </c>
      <c r="AF23" t="s">
        <v>308</v>
      </c>
      <c r="AM23">
        <v>1</v>
      </c>
      <c r="AN23">
        <v>8192</v>
      </c>
      <c r="AO23" t="s">
        <v>1517</v>
      </c>
      <c r="AP23" t="s">
        <v>144</v>
      </c>
      <c r="AQ23" t="s">
        <v>145</v>
      </c>
      <c r="AS23" t="b">
        <v>1</v>
      </c>
      <c r="AT23" t="s">
        <v>113</v>
      </c>
      <c r="AV23" t="s">
        <v>104</v>
      </c>
      <c r="AW23">
        <v>-1</v>
      </c>
      <c r="AX23">
        <v>-1</v>
      </c>
      <c r="AZ23">
        <v>143470</v>
      </c>
      <c r="BA23">
        <v>143470</v>
      </c>
      <c r="BB23">
        <v>143360</v>
      </c>
      <c r="BC23" t="s">
        <v>114</v>
      </c>
      <c r="BD23" t="s">
        <v>115</v>
      </c>
      <c r="BE23" t="s">
        <v>116</v>
      </c>
      <c r="BH23" t="b">
        <v>0</v>
      </c>
      <c r="BI23">
        <v>0</v>
      </c>
      <c r="BJ23">
        <v>10000</v>
      </c>
      <c r="BK23" t="b">
        <v>0</v>
      </c>
      <c r="BL23" t="b">
        <v>0</v>
      </c>
      <c r="BN23" t="b">
        <v>0</v>
      </c>
      <c r="BO23" t="s">
        <v>117</v>
      </c>
      <c r="BP23">
        <v>18</v>
      </c>
      <c r="BQ23" t="s">
        <v>115</v>
      </c>
      <c r="BR23" t="s">
        <v>118</v>
      </c>
      <c r="BT23" t="s">
        <v>1280</v>
      </c>
      <c r="BU23" t="s">
        <v>1281</v>
      </c>
      <c r="BV23" t="s">
        <v>1281</v>
      </c>
      <c r="BW23" t="s">
        <v>1281</v>
      </c>
      <c r="BY23" t="s">
        <v>1522</v>
      </c>
      <c r="BZ23" t="s">
        <v>1523</v>
      </c>
      <c r="CH23" t="s">
        <v>121</v>
      </c>
      <c r="CI23" t="s">
        <v>239</v>
      </c>
      <c r="CJ23" t="s">
        <v>312</v>
      </c>
      <c r="CK23" t="s">
        <v>170</v>
      </c>
      <c r="CL23" t="s">
        <v>170</v>
      </c>
      <c r="CM23" t="s">
        <v>126</v>
      </c>
      <c r="CO23" t="s">
        <v>1282</v>
      </c>
      <c r="CP23" t="s">
        <v>1283</v>
      </c>
      <c r="CQ23" t="s">
        <v>1284</v>
      </c>
      <c r="CR23" t="s">
        <v>1478</v>
      </c>
      <c r="CS23" t="s">
        <v>1331</v>
      </c>
      <c r="CT23" t="s">
        <v>130</v>
      </c>
      <c r="CU23" t="s">
        <v>131</v>
      </c>
    </row>
    <row r="24" spans="1:99">
      <c r="A24" t="s">
        <v>313</v>
      </c>
      <c r="B24" t="s">
        <v>99</v>
      </c>
      <c r="C24" t="b">
        <v>0</v>
      </c>
      <c r="D24" t="b">
        <v>0</v>
      </c>
      <c r="E24" t="s">
        <v>100</v>
      </c>
      <c r="F24" t="s">
        <v>1345</v>
      </c>
      <c r="G24" t="s">
        <v>102</v>
      </c>
      <c r="H24" t="s">
        <v>103</v>
      </c>
      <c r="I24" t="s">
        <v>100</v>
      </c>
      <c r="J24" t="b">
        <v>0</v>
      </c>
      <c r="K24" s="41">
        <v>45897.643136574072</v>
      </c>
      <c r="N24">
        <v>0</v>
      </c>
      <c r="O24" s="41">
        <v>45735.436886574083</v>
      </c>
      <c r="P24" s="41">
        <v>45911.348067129627</v>
      </c>
      <c r="Q24" s="42">
        <v>6</v>
      </c>
      <c r="R24" t="s">
        <v>105</v>
      </c>
      <c r="S24" s="42">
        <v>26624</v>
      </c>
      <c r="T24">
        <v>532</v>
      </c>
      <c r="U24">
        <v>2</v>
      </c>
      <c r="V24">
        <v>2</v>
      </c>
      <c r="W24" s="42">
        <v>143360</v>
      </c>
      <c r="Y24" t="s">
        <v>229</v>
      </c>
      <c r="Z24" t="s">
        <v>106</v>
      </c>
      <c r="AC24" t="b">
        <v>1</v>
      </c>
      <c r="AD24" t="s">
        <v>1395</v>
      </c>
      <c r="AE24" t="s">
        <v>307</v>
      </c>
      <c r="AF24" t="s">
        <v>308</v>
      </c>
      <c r="AM24">
        <v>1</v>
      </c>
      <c r="AN24">
        <v>8192</v>
      </c>
      <c r="AO24" t="s">
        <v>1517</v>
      </c>
      <c r="AP24" t="s">
        <v>144</v>
      </c>
      <c r="AQ24" t="s">
        <v>145</v>
      </c>
      <c r="AS24" t="b">
        <v>1</v>
      </c>
      <c r="AT24" t="s">
        <v>113</v>
      </c>
      <c r="AV24" t="s">
        <v>104</v>
      </c>
      <c r="AW24">
        <v>-1</v>
      </c>
      <c r="AX24">
        <v>-1</v>
      </c>
      <c r="AZ24">
        <v>143506</v>
      </c>
      <c r="BA24">
        <v>143506</v>
      </c>
      <c r="BB24">
        <v>143360</v>
      </c>
      <c r="BC24" t="s">
        <v>114</v>
      </c>
      <c r="BD24" t="s">
        <v>115</v>
      </c>
      <c r="BE24" t="s">
        <v>116</v>
      </c>
      <c r="BH24" t="b">
        <v>0</v>
      </c>
      <c r="BI24">
        <v>0</v>
      </c>
      <c r="BJ24">
        <v>10000</v>
      </c>
      <c r="BK24" t="b">
        <v>0</v>
      </c>
      <c r="BL24" t="b">
        <v>0</v>
      </c>
      <c r="BN24" t="b">
        <v>0</v>
      </c>
      <c r="BO24" t="s">
        <v>117</v>
      </c>
      <c r="BP24">
        <v>18</v>
      </c>
      <c r="BQ24" t="s">
        <v>115</v>
      </c>
      <c r="BR24" t="s">
        <v>118</v>
      </c>
      <c r="BT24" t="s">
        <v>1285</v>
      </c>
      <c r="BU24" t="s">
        <v>1286</v>
      </c>
      <c r="BV24" t="s">
        <v>1286</v>
      </c>
      <c r="BW24" t="s">
        <v>1286</v>
      </c>
      <c r="BY24" t="s">
        <v>1524</v>
      </c>
      <c r="BZ24" t="s">
        <v>1525</v>
      </c>
      <c r="CH24" t="s">
        <v>121</v>
      </c>
      <c r="CI24" t="s">
        <v>239</v>
      </c>
      <c r="CJ24" t="s">
        <v>240</v>
      </c>
      <c r="CK24" t="s">
        <v>170</v>
      </c>
      <c r="CL24" t="s">
        <v>170</v>
      </c>
      <c r="CM24" t="s">
        <v>126</v>
      </c>
      <c r="CO24" t="s">
        <v>1287</v>
      </c>
      <c r="CP24" t="s">
        <v>1288</v>
      </c>
      <c r="CQ24" t="s">
        <v>1289</v>
      </c>
      <c r="CR24" t="s">
        <v>1478</v>
      </c>
      <c r="CS24" t="s">
        <v>1331</v>
      </c>
      <c r="CT24" t="s">
        <v>130</v>
      </c>
      <c r="CU24" t="s">
        <v>131</v>
      </c>
    </row>
    <row r="25" spans="1:99">
      <c r="A25" t="s">
        <v>314</v>
      </c>
      <c r="B25" t="s">
        <v>99</v>
      </c>
      <c r="C25" t="b">
        <v>0</v>
      </c>
      <c r="D25" t="b">
        <v>0</v>
      </c>
      <c r="E25" t="s">
        <v>100</v>
      </c>
      <c r="F25" t="s">
        <v>1272</v>
      </c>
      <c r="G25" t="s">
        <v>102</v>
      </c>
      <c r="H25" t="s">
        <v>103</v>
      </c>
      <c r="I25" t="s">
        <v>100</v>
      </c>
      <c r="J25" t="b">
        <v>0</v>
      </c>
      <c r="K25" s="41">
        <v>45897.733587962961</v>
      </c>
      <c r="N25">
        <v>0</v>
      </c>
      <c r="O25" s="41">
        <v>45735.4528125</v>
      </c>
      <c r="P25" s="41">
        <v>45908.022673611107</v>
      </c>
      <c r="Q25" s="42">
        <v>6</v>
      </c>
      <c r="R25" t="s">
        <v>105</v>
      </c>
      <c r="S25" s="42">
        <v>26624</v>
      </c>
      <c r="T25">
        <v>2129</v>
      </c>
      <c r="U25">
        <v>2</v>
      </c>
      <c r="V25">
        <v>2</v>
      </c>
      <c r="W25" s="42">
        <v>143360</v>
      </c>
      <c r="Y25" t="s">
        <v>229</v>
      </c>
      <c r="Z25" t="s">
        <v>106</v>
      </c>
      <c r="AC25" t="b">
        <v>1</v>
      </c>
      <c r="AD25" t="s">
        <v>1290</v>
      </c>
      <c r="AE25" t="s">
        <v>307</v>
      </c>
      <c r="AF25" t="s">
        <v>308</v>
      </c>
      <c r="AM25">
        <v>1</v>
      </c>
      <c r="AN25">
        <v>8192</v>
      </c>
      <c r="AO25" t="s">
        <v>1517</v>
      </c>
      <c r="AP25" t="s">
        <v>144</v>
      </c>
      <c r="AQ25" t="s">
        <v>145</v>
      </c>
      <c r="AS25" t="b">
        <v>1</v>
      </c>
      <c r="AT25" t="s">
        <v>113</v>
      </c>
      <c r="AV25" t="s">
        <v>104</v>
      </c>
      <c r="AW25">
        <v>-1</v>
      </c>
      <c r="AX25">
        <v>-1</v>
      </c>
      <c r="AZ25">
        <v>143679</v>
      </c>
      <c r="BA25">
        <v>143679</v>
      </c>
      <c r="BB25">
        <v>143360</v>
      </c>
      <c r="BC25" t="s">
        <v>114</v>
      </c>
      <c r="BD25" t="s">
        <v>115</v>
      </c>
      <c r="BE25" t="s">
        <v>116</v>
      </c>
      <c r="BH25" t="b">
        <v>0</v>
      </c>
      <c r="BI25">
        <v>0</v>
      </c>
      <c r="BJ25">
        <v>10000</v>
      </c>
      <c r="BK25" t="b">
        <v>0</v>
      </c>
      <c r="BL25" t="b">
        <v>0</v>
      </c>
      <c r="BN25" t="b">
        <v>0</v>
      </c>
      <c r="BO25" t="s">
        <v>117</v>
      </c>
      <c r="BP25">
        <v>18</v>
      </c>
      <c r="BQ25" t="s">
        <v>115</v>
      </c>
      <c r="BR25" t="s">
        <v>118</v>
      </c>
      <c r="BT25" t="s">
        <v>1291</v>
      </c>
      <c r="BU25" t="s">
        <v>1292</v>
      </c>
      <c r="BV25" t="s">
        <v>1292</v>
      </c>
      <c r="BW25" t="s">
        <v>1292</v>
      </c>
      <c r="BY25" t="s">
        <v>1526</v>
      </c>
      <c r="BZ25" t="s">
        <v>1527</v>
      </c>
      <c r="CH25" t="s">
        <v>121</v>
      </c>
      <c r="CI25" t="s">
        <v>239</v>
      </c>
      <c r="CJ25" t="s">
        <v>276</v>
      </c>
      <c r="CK25" t="s">
        <v>170</v>
      </c>
      <c r="CL25" t="s">
        <v>170</v>
      </c>
      <c r="CM25" t="s">
        <v>126</v>
      </c>
      <c r="CO25" t="s">
        <v>1293</v>
      </c>
      <c r="CP25" t="s">
        <v>1294</v>
      </c>
      <c r="CQ25" t="s">
        <v>1295</v>
      </c>
      <c r="CR25" t="s">
        <v>1478</v>
      </c>
      <c r="CS25" t="s">
        <v>1331</v>
      </c>
      <c r="CT25" t="s">
        <v>130</v>
      </c>
      <c r="CU25" t="s">
        <v>131</v>
      </c>
    </row>
    <row r="26" spans="1:99">
      <c r="A26" t="s">
        <v>316</v>
      </c>
      <c r="B26" t="s">
        <v>99</v>
      </c>
      <c r="C26" t="b">
        <v>0</v>
      </c>
      <c r="D26" t="b">
        <v>0</v>
      </c>
      <c r="E26" t="s">
        <v>100</v>
      </c>
      <c r="G26" t="s">
        <v>102</v>
      </c>
      <c r="H26" t="s">
        <v>305</v>
      </c>
      <c r="I26" t="s">
        <v>104</v>
      </c>
      <c r="J26" t="b">
        <v>0</v>
      </c>
      <c r="K26" s="41">
        <v>45791.734780092593</v>
      </c>
      <c r="N26">
        <v>0</v>
      </c>
      <c r="O26" s="41">
        <v>45404.599143518521</v>
      </c>
      <c r="P26" s="41">
        <v>45743.190300925933</v>
      </c>
      <c r="Q26" s="42">
        <v>8</v>
      </c>
      <c r="R26" t="s">
        <v>105</v>
      </c>
      <c r="S26" s="42">
        <v>16384</v>
      </c>
      <c r="T26">
        <v>1146</v>
      </c>
      <c r="U26">
        <v>1</v>
      </c>
      <c r="V26">
        <v>1</v>
      </c>
      <c r="W26" s="42">
        <v>154433</v>
      </c>
      <c r="Y26" t="s">
        <v>229</v>
      </c>
      <c r="Z26" t="s">
        <v>106</v>
      </c>
      <c r="AC26" t="b">
        <v>1</v>
      </c>
      <c r="AE26" t="s">
        <v>317</v>
      </c>
      <c r="AM26">
        <v>1</v>
      </c>
      <c r="AN26">
        <v>4096</v>
      </c>
      <c r="AO26" t="s">
        <v>234</v>
      </c>
      <c r="AP26" t="s">
        <v>144</v>
      </c>
      <c r="AQ26" t="s">
        <v>145</v>
      </c>
      <c r="AS26" t="b">
        <v>1</v>
      </c>
      <c r="AT26" t="s">
        <v>113</v>
      </c>
      <c r="AV26" t="s">
        <v>104</v>
      </c>
      <c r="AW26">
        <v>-1</v>
      </c>
      <c r="AX26">
        <v>-1</v>
      </c>
      <c r="AZ26">
        <v>170917</v>
      </c>
      <c r="BA26">
        <v>170917</v>
      </c>
      <c r="BB26">
        <v>154433</v>
      </c>
      <c r="BC26" t="s">
        <v>114</v>
      </c>
      <c r="BD26" t="s">
        <v>115</v>
      </c>
      <c r="BE26" t="s">
        <v>116</v>
      </c>
      <c r="BH26" t="b">
        <v>0</v>
      </c>
      <c r="BI26">
        <v>0</v>
      </c>
      <c r="BJ26">
        <v>10000</v>
      </c>
      <c r="BK26" t="b">
        <v>0</v>
      </c>
      <c r="BL26" t="b">
        <v>0</v>
      </c>
      <c r="BN26" t="b">
        <v>0</v>
      </c>
      <c r="BO26" t="s">
        <v>117</v>
      </c>
      <c r="BP26">
        <v>15</v>
      </c>
      <c r="BQ26" t="s">
        <v>115</v>
      </c>
      <c r="BR26" t="s">
        <v>118</v>
      </c>
      <c r="BT26" t="s">
        <v>318</v>
      </c>
      <c r="BU26" t="s">
        <v>319</v>
      </c>
      <c r="BV26" t="s">
        <v>319</v>
      </c>
      <c r="BW26" t="s">
        <v>319</v>
      </c>
      <c r="BY26" t="s">
        <v>1528</v>
      </c>
      <c r="BZ26" t="s">
        <v>1529</v>
      </c>
      <c r="CH26" t="s">
        <v>121</v>
      </c>
      <c r="CI26" t="s">
        <v>239</v>
      </c>
      <c r="CJ26" t="s">
        <v>378</v>
      </c>
      <c r="CK26" t="s">
        <v>320</v>
      </c>
      <c r="CL26" t="s">
        <v>320</v>
      </c>
      <c r="CO26" t="s">
        <v>321</v>
      </c>
      <c r="CP26" t="s">
        <v>322</v>
      </c>
      <c r="CQ26" t="s">
        <v>323</v>
      </c>
      <c r="CR26" t="s">
        <v>1478</v>
      </c>
      <c r="CS26" t="s">
        <v>1331</v>
      </c>
      <c r="CT26" t="s">
        <v>130</v>
      </c>
      <c r="CU26" t="s">
        <v>131</v>
      </c>
    </row>
    <row r="27" spans="1:99">
      <c r="A27" t="s">
        <v>324</v>
      </c>
      <c r="B27" t="s">
        <v>99</v>
      </c>
      <c r="C27" t="b">
        <v>0</v>
      </c>
      <c r="D27" t="b">
        <v>0</v>
      </c>
      <c r="E27" t="s">
        <v>100</v>
      </c>
      <c r="F27" t="s">
        <v>325</v>
      </c>
      <c r="G27" t="s">
        <v>102</v>
      </c>
      <c r="H27" t="s">
        <v>103</v>
      </c>
      <c r="I27" t="s">
        <v>100</v>
      </c>
      <c r="J27" t="b">
        <v>0</v>
      </c>
      <c r="K27" s="41">
        <v>45773.937071759261</v>
      </c>
      <c r="N27">
        <v>0</v>
      </c>
      <c r="O27" s="41">
        <v>45427.442986111113</v>
      </c>
      <c r="P27" s="41">
        <v>45924.498113425929</v>
      </c>
      <c r="Q27" s="42">
        <v>4</v>
      </c>
      <c r="R27" t="s">
        <v>105</v>
      </c>
      <c r="S27" s="42">
        <v>32768</v>
      </c>
      <c r="T27">
        <v>983</v>
      </c>
      <c r="U27">
        <v>3</v>
      </c>
      <c r="V27">
        <v>3</v>
      </c>
      <c r="W27" s="42">
        <v>1191936</v>
      </c>
      <c r="Y27" t="s">
        <v>229</v>
      </c>
      <c r="Z27" t="s">
        <v>106</v>
      </c>
      <c r="AB27" t="b">
        <v>1</v>
      </c>
      <c r="AC27" t="b">
        <v>1</v>
      </c>
      <c r="AD27" t="s">
        <v>326</v>
      </c>
      <c r="AE27" t="s">
        <v>232</v>
      </c>
      <c r="AF27" t="s">
        <v>327</v>
      </c>
      <c r="AG27" t="s">
        <v>233</v>
      </c>
      <c r="AM27">
        <v>1</v>
      </c>
      <c r="AN27">
        <v>8192</v>
      </c>
      <c r="AO27" t="s">
        <v>328</v>
      </c>
      <c r="AP27" t="s">
        <v>235</v>
      </c>
      <c r="AQ27" t="s">
        <v>236</v>
      </c>
      <c r="AS27" t="b">
        <v>1</v>
      </c>
      <c r="AT27" t="s">
        <v>113</v>
      </c>
      <c r="AV27" t="s">
        <v>104</v>
      </c>
      <c r="AW27">
        <v>-1</v>
      </c>
      <c r="AX27">
        <v>-1</v>
      </c>
      <c r="AZ27">
        <v>1225246</v>
      </c>
      <c r="BA27">
        <v>1225246</v>
      </c>
      <c r="BB27">
        <v>1191936</v>
      </c>
      <c r="BC27" t="s">
        <v>114</v>
      </c>
      <c r="BD27" t="s">
        <v>115</v>
      </c>
      <c r="BE27" t="s">
        <v>116</v>
      </c>
      <c r="BH27" t="b">
        <v>0</v>
      </c>
      <c r="BI27">
        <v>0</v>
      </c>
      <c r="BJ27">
        <v>10000</v>
      </c>
      <c r="BK27" t="b">
        <v>0</v>
      </c>
      <c r="BL27" t="b">
        <v>0</v>
      </c>
      <c r="BN27" t="b">
        <v>0</v>
      </c>
      <c r="BO27" t="s">
        <v>117</v>
      </c>
      <c r="BP27">
        <v>19</v>
      </c>
      <c r="BQ27" t="s">
        <v>115</v>
      </c>
      <c r="BR27" t="s">
        <v>118</v>
      </c>
      <c r="BT27" t="s">
        <v>329</v>
      </c>
      <c r="BU27" t="s">
        <v>330</v>
      </c>
      <c r="BV27" t="s">
        <v>330</v>
      </c>
      <c r="BW27" t="s">
        <v>330</v>
      </c>
      <c r="BY27" t="s">
        <v>1530</v>
      </c>
      <c r="BZ27" t="s">
        <v>1531</v>
      </c>
      <c r="CH27" t="s">
        <v>121</v>
      </c>
      <c r="CI27" t="s">
        <v>239</v>
      </c>
      <c r="CJ27" t="s">
        <v>259</v>
      </c>
      <c r="CK27" t="s">
        <v>189</v>
      </c>
      <c r="CL27" t="s">
        <v>189</v>
      </c>
      <c r="CM27" t="s">
        <v>126</v>
      </c>
      <c r="CO27" t="s">
        <v>331</v>
      </c>
      <c r="CP27" t="s">
        <v>332</v>
      </c>
      <c r="CQ27" t="s">
        <v>333</v>
      </c>
      <c r="CR27" t="s">
        <v>1478</v>
      </c>
      <c r="CS27" t="s">
        <v>1331</v>
      </c>
      <c r="CT27" t="s">
        <v>130</v>
      </c>
      <c r="CU27" t="s">
        <v>131</v>
      </c>
    </row>
    <row r="28" spans="1:99">
      <c r="A28" t="s">
        <v>334</v>
      </c>
      <c r="B28" t="s">
        <v>99</v>
      </c>
      <c r="C28" t="b">
        <v>0</v>
      </c>
      <c r="D28" t="b">
        <v>0</v>
      </c>
      <c r="E28" t="s">
        <v>100</v>
      </c>
      <c r="F28" t="s">
        <v>1306</v>
      </c>
      <c r="G28" t="s">
        <v>102</v>
      </c>
      <c r="H28" t="s">
        <v>103</v>
      </c>
      <c r="I28" t="s">
        <v>100</v>
      </c>
      <c r="J28" t="b">
        <v>0</v>
      </c>
      <c r="K28" s="41">
        <v>45860.716493055559</v>
      </c>
      <c r="N28">
        <v>0</v>
      </c>
      <c r="O28" s="41">
        <v>45427.43582175926</v>
      </c>
      <c r="P28" s="41">
        <v>45924.499513888892</v>
      </c>
      <c r="Q28" s="42">
        <v>16</v>
      </c>
      <c r="R28" t="s">
        <v>105</v>
      </c>
      <c r="S28" s="42">
        <v>65536</v>
      </c>
      <c r="T28">
        <v>1966</v>
      </c>
      <c r="U28">
        <v>3</v>
      </c>
      <c r="V28">
        <v>7</v>
      </c>
      <c r="W28" s="42">
        <v>14479360</v>
      </c>
      <c r="Y28" t="s">
        <v>229</v>
      </c>
      <c r="Z28" t="s">
        <v>106</v>
      </c>
      <c r="AB28" t="b">
        <v>1</v>
      </c>
      <c r="AC28" t="b">
        <v>1</v>
      </c>
      <c r="AD28" t="s">
        <v>1307</v>
      </c>
      <c r="AE28" t="s">
        <v>232</v>
      </c>
      <c r="AF28" t="s">
        <v>327</v>
      </c>
      <c r="AG28" t="s">
        <v>233</v>
      </c>
      <c r="AM28">
        <v>1</v>
      </c>
      <c r="AN28">
        <v>8192</v>
      </c>
      <c r="AO28" t="s">
        <v>328</v>
      </c>
      <c r="AP28" t="s">
        <v>235</v>
      </c>
      <c r="AQ28" t="s">
        <v>236</v>
      </c>
      <c r="AS28" t="b">
        <v>1</v>
      </c>
      <c r="AT28" t="s">
        <v>113</v>
      </c>
      <c r="AV28" t="s">
        <v>104</v>
      </c>
      <c r="AW28">
        <v>-1</v>
      </c>
      <c r="AX28">
        <v>-1</v>
      </c>
      <c r="AZ28">
        <v>14545336</v>
      </c>
      <c r="BA28">
        <v>14545336</v>
      </c>
      <c r="BB28">
        <v>14479360</v>
      </c>
      <c r="BC28" t="s">
        <v>114</v>
      </c>
      <c r="BD28" t="s">
        <v>115</v>
      </c>
      <c r="BE28" t="s">
        <v>116</v>
      </c>
      <c r="BH28" t="b">
        <v>0</v>
      </c>
      <c r="BI28">
        <v>0</v>
      </c>
      <c r="BJ28">
        <v>10000</v>
      </c>
      <c r="BK28" t="b">
        <v>0</v>
      </c>
      <c r="BL28" t="b">
        <v>0</v>
      </c>
      <c r="BN28" t="b">
        <v>0</v>
      </c>
      <c r="BO28" t="s">
        <v>117</v>
      </c>
      <c r="BP28">
        <v>19</v>
      </c>
      <c r="BQ28" t="s">
        <v>115</v>
      </c>
      <c r="BR28" t="s">
        <v>118</v>
      </c>
      <c r="BT28" t="s">
        <v>335</v>
      </c>
      <c r="BU28" t="s">
        <v>336</v>
      </c>
      <c r="BV28" t="s">
        <v>336</v>
      </c>
      <c r="BW28" t="s">
        <v>336</v>
      </c>
      <c r="BY28" t="s">
        <v>1532</v>
      </c>
      <c r="BZ28" t="s">
        <v>1533</v>
      </c>
      <c r="CH28" t="s">
        <v>121</v>
      </c>
      <c r="CI28" t="s">
        <v>239</v>
      </c>
      <c r="CJ28" t="s">
        <v>309</v>
      </c>
      <c r="CK28" t="s">
        <v>189</v>
      </c>
      <c r="CL28" t="s">
        <v>189</v>
      </c>
      <c r="CM28" t="s">
        <v>126</v>
      </c>
      <c r="CO28" t="s">
        <v>337</v>
      </c>
      <c r="CP28" t="s">
        <v>338</v>
      </c>
      <c r="CQ28" t="s">
        <v>339</v>
      </c>
      <c r="CR28" t="s">
        <v>1478</v>
      </c>
      <c r="CS28" t="s">
        <v>1331</v>
      </c>
      <c r="CT28" t="s">
        <v>130</v>
      </c>
      <c r="CU28" t="s">
        <v>131</v>
      </c>
    </row>
    <row r="29" spans="1:99">
      <c r="A29" t="s">
        <v>340</v>
      </c>
      <c r="B29" t="s">
        <v>99</v>
      </c>
      <c r="C29" t="b">
        <v>0</v>
      </c>
      <c r="D29" t="b">
        <v>0</v>
      </c>
      <c r="E29" t="s">
        <v>100</v>
      </c>
      <c r="F29" t="s">
        <v>341</v>
      </c>
      <c r="G29" t="s">
        <v>102</v>
      </c>
      <c r="H29" t="s">
        <v>103</v>
      </c>
      <c r="I29" t="s">
        <v>100</v>
      </c>
      <c r="J29" t="b">
        <v>0</v>
      </c>
      <c r="K29" s="41">
        <v>45468.705937500003</v>
      </c>
      <c r="N29">
        <v>0</v>
      </c>
      <c r="O29" s="41">
        <v>45455.403194444443</v>
      </c>
      <c r="P29" s="41">
        <v>45930.9768287037</v>
      </c>
      <c r="Q29" s="42">
        <v>4</v>
      </c>
      <c r="R29" t="s">
        <v>105</v>
      </c>
      <c r="S29" s="42">
        <v>3072</v>
      </c>
      <c r="T29">
        <v>215</v>
      </c>
      <c r="U29">
        <v>1</v>
      </c>
      <c r="V29">
        <v>1</v>
      </c>
      <c r="W29" s="42">
        <v>122880</v>
      </c>
      <c r="Y29" t="s">
        <v>229</v>
      </c>
      <c r="Z29" t="s">
        <v>106</v>
      </c>
      <c r="AC29" t="b">
        <v>1</v>
      </c>
      <c r="AD29" t="s">
        <v>342</v>
      </c>
      <c r="AE29" t="s">
        <v>343</v>
      </c>
      <c r="AM29">
        <v>1</v>
      </c>
      <c r="AN29">
        <v>8192</v>
      </c>
      <c r="AO29" t="s">
        <v>328</v>
      </c>
      <c r="AP29" t="s">
        <v>235</v>
      </c>
      <c r="AQ29" t="s">
        <v>236</v>
      </c>
      <c r="AS29" t="b">
        <v>1</v>
      </c>
      <c r="AT29" t="s">
        <v>113</v>
      </c>
      <c r="AV29" t="s">
        <v>104</v>
      </c>
      <c r="AW29">
        <v>-1</v>
      </c>
      <c r="AX29">
        <v>-1</v>
      </c>
      <c r="AZ29">
        <v>126038</v>
      </c>
      <c r="BA29">
        <v>126038</v>
      </c>
      <c r="BB29">
        <v>122880</v>
      </c>
      <c r="BC29" t="s">
        <v>114</v>
      </c>
      <c r="BD29" t="s">
        <v>115</v>
      </c>
      <c r="BE29" t="s">
        <v>116</v>
      </c>
      <c r="BH29" t="b">
        <v>0</v>
      </c>
      <c r="BI29">
        <v>0</v>
      </c>
      <c r="BJ29">
        <v>10000</v>
      </c>
      <c r="BK29" t="b">
        <v>0</v>
      </c>
      <c r="BL29" t="b">
        <v>0</v>
      </c>
      <c r="BN29" t="b">
        <v>0</v>
      </c>
      <c r="BO29" t="s">
        <v>117</v>
      </c>
      <c r="BP29">
        <v>19</v>
      </c>
      <c r="BQ29" t="s">
        <v>115</v>
      </c>
      <c r="BR29" t="s">
        <v>118</v>
      </c>
      <c r="BT29" t="s">
        <v>344</v>
      </c>
      <c r="BU29" t="s">
        <v>345</v>
      </c>
      <c r="BV29" t="s">
        <v>345</v>
      </c>
      <c r="BW29" t="s">
        <v>345</v>
      </c>
      <c r="BY29" t="s">
        <v>1534</v>
      </c>
      <c r="BZ29" t="s">
        <v>1535</v>
      </c>
      <c r="CH29" t="s">
        <v>121</v>
      </c>
      <c r="CI29" t="s">
        <v>239</v>
      </c>
      <c r="CJ29" t="s">
        <v>276</v>
      </c>
      <c r="CK29" t="s">
        <v>149</v>
      </c>
      <c r="CL29" t="s">
        <v>149</v>
      </c>
      <c r="CM29" t="s">
        <v>126</v>
      </c>
      <c r="CO29" t="s">
        <v>346</v>
      </c>
      <c r="CP29" t="s">
        <v>347</v>
      </c>
      <c r="CQ29" t="s">
        <v>348</v>
      </c>
      <c r="CR29" t="s">
        <v>1478</v>
      </c>
      <c r="CS29" t="s">
        <v>1331</v>
      </c>
      <c r="CT29" t="s">
        <v>130</v>
      </c>
      <c r="CU29" t="s">
        <v>131</v>
      </c>
    </row>
    <row r="30" spans="1:99">
      <c r="A30" t="s">
        <v>349</v>
      </c>
      <c r="B30" t="s">
        <v>99</v>
      </c>
      <c r="C30" t="b">
        <v>0</v>
      </c>
      <c r="D30" t="b">
        <v>0</v>
      </c>
      <c r="E30" t="s">
        <v>100</v>
      </c>
      <c r="F30" t="s">
        <v>350</v>
      </c>
      <c r="G30" t="s">
        <v>102</v>
      </c>
      <c r="H30" t="s">
        <v>103</v>
      </c>
      <c r="I30" t="s">
        <v>100</v>
      </c>
      <c r="J30" t="b">
        <v>0</v>
      </c>
      <c r="K30" s="41">
        <v>45468.705972222233</v>
      </c>
      <c r="N30">
        <v>0</v>
      </c>
      <c r="O30" s="41">
        <v>45455.408622685187</v>
      </c>
      <c r="P30" s="41">
        <v>45930.975185185183</v>
      </c>
      <c r="Q30" s="42">
        <v>4</v>
      </c>
      <c r="R30" t="s">
        <v>105</v>
      </c>
      <c r="S30" s="42">
        <v>3072</v>
      </c>
      <c r="T30">
        <v>215</v>
      </c>
      <c r="U30">
        <v>1</v>
      </c>
      <c r="V30">
        <v>1</v>
      </c>
      <c r="W30" s="42">
        <v>122880</v>
      </c>
      <c r="Y30" t="s">
        <v>229</v>
      </c>
      <c r="Z30" t="s">
        <v>106</v>
      </c>
      <c r="AC30" t="b">
        <v>1</v>
      </c>
      <c r="AD30" t="s">
        <v>351</v>
      </c>
      <c r="AE30" t="s">
        <v>343</v>
      </c>
      <c r="AM30">
        <v>1</v>
      </c>
      <c r="AN30">
        <v>8192</v>
      </c>
      <c r="AO30" t="s">
        <v>328</v>
      </c>
      <c r="AP30" t="s">
        <v>235</v>
      </c>
      <c r="AQ30" t="s">
        <v>236</v>
      </c>
      <c r="AS30" t="b">
        <v>1</v>
      </c>
      <c r="AT30" t="s">
        <v>113</v>
      </c>
      <c r="AV30" t="s">
        <v>104</v>
      </c>
      <c r="AW30">
        <v>-1</v>
      </c>
      <c r="AX30">
        <v>-1</v>
      </c>
      <c r="AZ30">
        <v>126056</v>
      </c>
      <c r="BA30">
        <v>126056</v>
      </c>
      <c r="BB30">
        <v>122880</v>
      </c>
      <c r="BC30" t="s">
        <v>114</v>
      </c>
      <c r="BD30" t="s">
        <v>115</v>
      </c>
      <c r="BE30" t="s">
        <v>116</v>
      </c>
      <c r="BH30" t="b">
        <v>0</v>
      </c>
      <c r="BI30">
        <v>0</v>
      </c>
      <c r="BJ30">
        <v>10000</v>
      </c>
      <c r="BK30" t="b">
        <v>0</v>
      </c>
      <c r="BL30" t="b">
        <v>0</v>
      </c>
      <c r="BN30" t="b">
        <v>0</v>
      </c>
      <c r="BO30" t="s">
        <v>117</v>
      </c>
      <c r="BP30">
        <v>19</v>
      </c>
      <c r="BQ30" t="s">
        <v>115</v>
      </c>
      <c r="BR30" t="s">
        <v>118</v>
      </c>
      <c r="BT30" t="s">
        <v>352</v>
      </c>
      <c r="BU30" t="s">
        <v>353</v>
      </c>
      <c r="BV30" t="s">
        <v>353</v>
      </c>
      <c r="BW30" t="s">
        <v>353</v>
      </c>
      <c r="BY30" t="s">
        <v>1536</v>
      </c>
      <c r="BZ30" t="s">
        <v>1537</v>
      </c>
      <c r="CH30" t="s">
        <v>121</v>
      </c>
      <c r="CI30" t="s">
        <v>239</v>
      </c>
      <c r="CJ30" t="s">
        <v>378</v>
      </c>
      <c r="CK30" t="s">
        <v>149</v>
      </c>
      <c r="CL30" t="s">
        <v>149</v>
      </c>
      <c r="CM30" t="s">
        <v>126</v>
      </c>
      <c r="CO30" t="s">
        <v>354</v>
      </c>
      <c r="CP30" t="s">
        <v>355</v>
      </c>
      <c r="CQ30" t="s">
        <v>356</v>
      </c>
      <c r="CR30" t="s">
        <v>1478</v>
      </c>
      <c r="CS30" t="s">
        <v>1331</v>
      </c>
      <c r="CT30" t="s">
        <v>130</v>
      </c>
      <c r="CU30" t="s">
        <v>131</v>
      </c>
    </row>
    <row r="31" spans="1:99">
      <c r="A31" t="s">
        <v>357</v>
      </c>
      <c r="B31" t="s">
        <v>99</v>
      </c>
      <c r="C31" t="b">
        <v>0</v>
      </c>
      <c r="D31" t="b">
        <v>0</v>
      </c>
      <c r="E31" t="s">
        <v>100</v>
      </c>
      <c r="F31" t="s">
        <v>358</v>
      </c>
      <c r="G31" t="s">
        <v>102</v>
      </c>
      <c r="H31" t="s">
        <v>103</v>
      </c>
      <c r="I31" t="s">
        <v>100</v>
      </c>
      <c r="J31" t="b">
        <v>0</v>
      </c>
      <c r="K31" s="41">
        <v>45468.705995370372</v>
      </c>
      <c r="N31">
        <v>0</v>
      </c>
      <c r="O31" s="41">
        <v>45455.411539351851</v>
      </c>
      <c r="P31" s="41">
        <v>45931.017557870371</v>
      </c>
      <c r="Q31" s="42">
        <v>4</v>
      </c>
      <c r="R31" t="s">
        <v>105</v>
      </c>
      <c r="S31" s="42">
        <v>3072</v>
      </c>
      <c r="T31">
        <v>215</v>
      </c>
      <c r="U31">
        <v>1</v>
      </c>
      <c r="V31">
        <v>1</v>
      </c>
      <c r="W31" s="42">
        <v>122880</v>
      </c>
      <c r="Y31" t="s">
        <v>229</v>
      </c>
      <c r="Z31" t="s">
        <v>106</v>
      </c>
      <c r="AC31" t="b">
        <v>1</v>
      </c>
      <c r="AD31" t="s">
        <v>359</v>
      </c>
      <c r="AE31" t="s">
        <v>343</v>
      </c>
      <c r="AM31">
        <v>1</v>
      </c>
      <c r="AN31">
        <v>8192</v>
      </c>
      <c r="AO31" t="s">
        <v>328</v>
      </c>
      <c r="AP31" t="s">
        <v>235</v>
      </c>
      <c r="AQ31" t="s">
        <v>236</v>
      </c>
      <c r="AS31" t="b">
        <v>1</v>
      </c>
      <c r="AT31" t="s">
        <v>113</v>
      </c>
      <c r="AV31" t="s">
        <v>104</v>
      </c>
      <c r="AW31">
        <v>-1</v>
      </c>
      <c r="AX31">
        <v>-1</v>
      </c>
      <c r="AZ31">
        <v>126047</v>
      </c>
      <c r="BA31">
        <v>126047</v>
      </c>
      <c r="BB31">
        <v>122880</v>
      </c>
      <c r="BC31" t="s">
        <v>114</v>
      </c>
      <c r="BD31" t="s">
        <v>115</v>
      </c>
      <c r="BE31" t="s">
        <v>116</v>
      </c>
      <c r="BH31" t="b">
        <v>0</v>
      </c>
      <c r="BI31">
        <v>0</v>
      </c>
      <c r="BJ31">
        <v>10000</v>
      </c>
      <c r="BK31" t="b">
        <v>0</v>
      </c>
      <c r="BL31" t="b">
        <v>0</v>
      </c>
      <c r="BN31" t="b">
        <v>0</v>
      </c>
      <c r="BO31" t="s">
        <v>117</v>
      </c>
      <c r="BP31">
        <v>19</v>
      </c>
      <c r="BQ31" t="s">
        <v>115</v>
      </c>
      <c r="BR31" t="s">
        <v>118</v>
      </c>
      <c r="BT31" t="s">
        <v>360</v>
      </c>
      <c r="BU31" t="s">
        <v>361</v>
      </c>
      <c r="BV31" t="s">
        <v>361</v>
      </c>
      <c r="BW31" t="s">
        <v>361</v>
      </c>
      <c r="BY31" t="s">
        <v>1538</v>
      </c>
      <c r="BZ31" t="s">
        <v>1539</v>
      </c>
      <c r="CH31" t="s">
        <v>121</v>
      </c>
      <c r="CI31" t="s">
        <v>239</v>
      </c>
      <c r="CJ31" t="s">
        <v>1402</v>
      </c>
      <c r="CK31" t="s">
        <v>149</v>
      </c>
      <c r="CL31" t="s">
        <v>149</v>
      </c>
      <c r="CM31" t="s">
        <v>126</v>
      </c>
      <c r="CO31" t="s">
        <v>362</v>
      </c>
      <c r="CP31" t="s">
        <v>363</v>
      </c>
      <c r="CQ31" t="s">
        <v>364</v>
      </c>
      <c r="CR31" t="s">
        <v>1478</v>
      </c>
      <c r="CS31" t="s">
        <v>1331</v>
      </c>
      <c r="CT31" t="s">
        <v>130</v>
      </c>
      <c r="CU31" t="s">
        <v>131</v>
      </c>
    </row>
    <row r="32" spans="1:99">
      <c r="A32" t="s">
        <v>365</v>
      </c>
      <c r="B32" t="s">
        <v>99</v>
      </c>
      <c r="C32" t="b">
        <v>0</v>
      </c>
      <c r="D32" t="b">
        <v>0</v>
      </c>
      <c r="E32" t="s">
        <v>100</v>
      </c>
      <c r="F32" t="s">
        <v>366</v>
      </c>
      <c r="G32" t="s">
        <v>102</v>
      </c>
      <c r="H32" t="s">
        <v>103</v>
      </c>
      <c r="I32" t="s">
        <v>100</v>
      </c>
      <c r="J32" t="b">
        <v>0</v>
      </c>
      <c r="K32" s="41">
        <v>45502.480393518519</v>
      </c>
      <c r="N32">
        <v>0</v>
      </c>
      <c r="O32" s="41">
        <v>45455.413923611108</v>
      </c>
      <c r="P32" s="41">
        <v>45930.410138888888</v>
      </c>
      <c r="Q32" s="42">
        <v>4</v>
      </c>
      <c r="R32" t="s">
        <v>105</v>
      </c>
      <c r="S32" s="42">
        <v>16384</v>
      </c>
      <c r="T32">
        <v>8028</v>
      </c>
      <c r="U32">
        <v>1</v>
      </c>
      <c r="V32">
        <v>1</v>
      </c>
      <c r="W32" s="42">
        <v>163840</v>
      </c>
      <c r="Y32" t="s">
        <v>229</v>
      </c>
      <c r="Z32" t="s">
        <v>106</v>
      </c>
      <c r="AC32" t="b">
        <v>1</v>
      </c>
      <c r="AD32" t="s">
        <v>367</v>
      </c>
      <c r="AE32" t="s">
        <v>343</v>
      </c>
      <c r="AM32">
        <v>1</v>
      </c>
      <c r="AN32">
        <v>8192</v>
      </c>
      <c r="AO32" t="s">
        <v>328</v>
      </c>
      <c r="AP32" t="s">
        <v>235</v>
      </c>
      <c r="AQ32" t="s">
        <v>236</v>
      </c>
      <c r="AS32" t="b">
        <v>1</v>
      </c>
      <c r="AT32" t="s">
        <v>113</v>
      </c>
      <c r="AV32" t="s">
        <v>104</v>
      </c>
      <c r="AW32">
        <v>-1</v>
      </c>
      <c r="AX32">
        <v>-1</v>
      </c>
      <c r="AZ32">
        <v>180343</v>
      </c>
      <c r="BA32">
        <v>180343</v>
      </c>
      <c r="BB32">
        <v>163840</v>
      </c>
      <c r="BC32" t="s">
        <v>114</v>
      </c>
      <c r="BD32" t="s">
        <v>115</v>
      </c>
      <c r="BE32" t="s">
        <v>116</v>
      </c>
      <c r="BH32" t="b">
        <v>0</v>
      </c>
      <c r="BI32">
        <v>0</v>
      </c>
      <c r="BJ32">
        <v>10000</v>
      </c>
      <c r="BK32" t="b">
        <v>0</v>
      </c>
      <c r="BL32" t="b">
        <v>0</v>
      </c>
      <c r="BN32" t="b">
        <v>0</v>
      </c>
      <c r="BO32" t="s">
        <v>117</v>
      </c>
      <c r="BP32">
        <v>19</v>
      </c>
      <c r="BQ32" t="s">
        <v>115</v>
      </c>
      <c r="BR32" t="s">
        <v>118</v>
      </c>
      <c r="BT32" t="s">
        <v>368</v>
      </c>
      <c r="BU32" t="s">
        <v>369</v>
      </c>
      <c r="BV32" t="s">
        <v>369</v>
      </c>
      <c r="BW32" t="s">
        <v>369</v>
      </c>
      <c r="BY32" t="s">
        <v>1540</v>
      </c>
      <c r="BZ32" t="s">
        <v>1541</v>
      </c>
      <c r="CH32" t="s">
        <v>121</v>
      </c>
      <c r="CI32" t="s">
        <v>239</v>
      </c>
      <c r="CJ32" t="s">
        <v>240</v>
      </c>
      <c r="CK32" t="s">
        <v>149</v>
      </c>
      <c r="CL32" t="s">
        <v>149</v>
      </c>
      <c r="CM32" t="s">
        <v>126</v>
      </c>
      <c r="CO32" t="s">
        <v>370</v>
      </c>
      <c r="CP32" t="s">
        <v>371</v>
      </c>
      <c r="CQ32" t="s">
        <v>372</v>
      </c>
      <c r="CR32" t="s">
        <v>1478</v>
      </c>
      <c r="CS32" t="s">
        <v>1331</v>
      </c>
      <c r="CT32" t="s">
        <v>130</v>
      </c>
      <c r="CU32" t="s">
        <v>131</v>
      </c>
    </row>
    <row r="33" spans="1:99">
      <c r="A33" t="s">
        <v>373</v>
      </c>
      <c r="B33" t="s">
        <v>99</v>
      </c>
      <c r="C33" t="b">
        <v>0</v>
      </c>
      <c r="D33" t="b">
        <v>0</v>
      </c>
      <c r="E33" t="s">
        <v>100</v>
      </c>
      <c r="F33" t="s">
        <v>374</v>
      </c>
      <c r="G33" t="s">
        <v>102</v>
      </c>
      <c r="H33" t="s">
        <v>103</v>
      </c>
      <c r="I33" t="s">
        <v>100</v>
      </c>
      <c r="J33" t="b">
        <v>0</v>
      </c>
      <c r="K33" s="41">
        <v>45502.475752314807</v>
      </c>
      <c r="N33">
        <v>0</v>
      </c>
      <c r="O33" s="41">
        <v>45455.417291666658</v>
      </c>
      <c r="P33" s="41">
        <v>45925.426423611112</v>
      </c>
      <c r="Q33" s="42">
        <v>4</v>
      </c>
      <c r="R33" t="s">
        <v>105</v>
      </c>
      <c r="S33" s="42">
        <v>16384</v>
      </c>
      <c r="T33">
        <v>7700</v>
      </c>
      <c r="U33">
        <v>1</v>
      </c>
      <c r="V33">
        <v>1</v>
      </c>
      <c r="W33" s="42">
        <v>163840</v>
      </c>
      <c r="Y33" t="s">
        <v>229</v>
      </c>
      <c r="Z33" t="s">
        <v>106</v>
      </c>
      <c r="AC33" t="b">
        <v>1</v>
      </c>
      <c r="AD33" t="s">
        <v>375</v>
      </c>
      <c r="AE33" t="s">
        <v>343</v>
      </c>
      <c r="AM33">
        <v>1</v>
      </c>
      <c r="AN33">
        <v>8192</v>
      </c>
      <c r="AO33" t="s">
        <v>328</v>
      </c>
      <c r="AP33" t="s">
        <v>235</v>
      </c>
      <c r="AQ33" t="s">
        <v>236</v>
      </c>
      <c r="AS33" t="b">
        <v>1</v>
      </c>
      <c r="AT33" t="s">
        <v>113</v>
      </c>
      <c r="AV33" t="s">
        <v>104</v>
      </c>
      <c r="AW33">
        <v>-1</v>
      </c>
      <c r="AX33">
        <v>-1</v>
      </c>
      <c r="AZ33">
        <v>180381</v>
      </c>
      <c r="BA33">
        <v>180381</v>
      </c>
      <c r="BB33">
        <v>163840</v>
      </c>
      <c r="BC33" t="s">
        <v>114</v>
      </c>
      <c r="BD33" t="s">
        <v>115</v>
      </c>
      <c r="BE33" t="s">
        <v>116</v>
      </c>
      <c r="BH33" t="b">
        <v>0</v>
      </c>
      <c r="BI33">
        <v>0</v>
      </c>
      <c r="BJ33">
        <v>10000</v>
      </c>
      <c r="BK33" t="b">
        <v>0</v>
      </c>
      <c r="BL33" t="b">
        <v>0</v>
      </c>
      <c r="BN33" t="b">
        <v>0</v>
      </c>
      <c r="BO33" t="s">
        <v>117</v>
      </c>
      <c r="BP33">
        <v>19</v>
      </c>
      <c r="BQ33" t="s">
        <v>115</v>
      </c>
      <c r="BR33" t="s">
        <v>118</v>
      </c>
      <c r="BT33" t="s">
        <v>376</v>
      </c>
      <c r="BU33" t="s">
        <v>377</v>
      </c>
      <c r="BV33" t="s">
        <v>377</v>
      </c>
      <c r="BW33" t="s">
        <v>377</v>
      </c>
      <c r="BY33" t="s">
        <v>1542</v>
      </c>
      <c r="BZ33" t="s">
        <v>1543</v>
      </c>
      <c r="CH33" t="s">
        <v>121</v>
      </c>
      <c r="CI33" t="s">
        <v>239</v>
      </c>
      <c r="CJ33" t="s">
        <v>309</v>
      </c>
      <c r="CK33" t="s">
        <v>149</v>
      </c>
      <c r="CL33" t="s">
        <v>149</v>
      </c>
      <c r="CM33" t="s">
        <v>126</v>
      </c>
      <c r="CO33" t="s">
        <v>379</v>
      </c>
      <c r="CP33" t="s">
        <v>380</v>
      </c>
      <c r="CQ33" t="s">
        <v>381</v>
      </c>
      <c r="CR33" t="s">
        <v>1478</v>
      </c>
      <c r="CS33" t="s">
        <v>1331</v>
      </c>
      <c r="CT33" t="s">
        <v>130</v>
      </c>
      <c r="CU33" t="s">
        <v>131</v>
      </c>
    </row>
    <row r="34" spans="1:99">
      <c r="A34" t="s">
        <v>382</v>
      </c>
      <c r="B34" t="s">
        <v>99</v>
      </c>
      <c r="C34" t="b">
        <v>0</v>
      </c>
      <c r="D34" t="b">
        <v>0</v>
      </c>
      <c r="E34" t="s">
        <v>100</v>
      </c>
      <c r="F34" t="s">
        <v>383</v>
      </c>
      <c r="G34" t="s">
        <v>102</v>
      </c>
      <c r="H34" t="s">
        <v>103</v>
      </c>
      <c r="I34" t="s">
        <v>100</v>
      </c>
      <c r="J34" t="b">
        <v>0</v>
      </c>
      <c r="K34" s="41">
        <v>45502.485798611109</v>
      </c>
      <c r="N34">
        <v>0</v>
      </c>
      <c r="O34" s="41">
        <v>45455.419895833344</v>
      </c>
      <c r="P34" s="41">
        <v>45930.791562500002</v>
      </c>
      <c r="Q34" s="42">
        <v>4</v>
      </c>
      <c r="R34" t="s">
        <v>105</v>
      </c>
      <c r="S34" s="42">
        <v>16384</v>
      </c>
      <c r="T34">
        <v>4423</v>
      </c>
      <c r="U34">
        <v>1</v>
      </c>
      <c r="V34">
        <v>1</v>
      </c>
      <c r="W34" s="42">
        <v>163840</v>
      </c>
      <c r="Y34" t="s">
        <v>229</v>
      </c>
      <c r="Z34" t="s">
        <v>106</v>
      </c>
      <c r="AC34" t="b">
        <v>1</v>
      </c>
      <c r="AD34" t="s">
        <v>384</v>
      </c>
      <c r="AE34" t="s">
        <v>343</v>
      </c>
      <c r="AM34">
        <v>1</v>
      </c>
      <c r="AN34">
        <v>8192</v>
      </c>
      <c r="AO34" t="s">
        <v>328</v>
      </c>
      <c r="AP34" t="s">
        <v>235</v>
      </c>
      <c r="AQ34" t="s">
        <v>236</v>
      </c>
      <c r="AS34" t="b">
        <v>1</v>
      </c>
      <c r="AT34" t="s">
        <v>113</v>
      </c>
      <c r="AV34" t="s">
        <v>104</v>
      </c>
      <c r="AW34">
        <v>-1</v>
      </c>
      <c r="AX34">
        <v>-1</v>
      </c>
      <c r="AZ34">
        <v>180336</v>
      </c>
      <c r="BA34">
        <v>180336</v>
      </c>
      <c r="BB34">
        <v>163840</v>
      </c>
      <c r="BC34" t="s">
        <v>114</v>
      </c>
      <c r="BD34" t="s">
        <v>115</v>
      </c>
      <c r="BE34" t="s">
        <v>116</v>
      </c>
      <c r="BH34" t="b">
        <v>0</v>
      </c>
      <c r="BI34">
        <v>0</v>
      </c>
      <c r="BJ34">
        <v>10000</v>
      </c>
      <c r="BK34" t="b">
        <v>0</v>
      </c>
      <c r="BL34" t="b">
        <v>0</v>
      </c>
      <c r="BN34" t="b">
        <v>0</v>
      </c>
      <c r="BO34" t="s">
        <v>117</v>
      </c>
      <c r="BP34">
        <v>19</v>
      </c>
      <c r="BQ34" t="s">
        <v>115</v>
      </c>
      <c r="BR34" t="s">
        <v>118</v>
      </c>
      <c r="BT34" t="s">
        <v>385</v>
      </c>
      <c r="BU34" t="s">
        <v>386</v>
      </c>
      <c r="BV34" t="s">
        <v>386</v>
      </c>
      <c r="BW34" t="s">
        <v>386</v>
      </c>
      <c r="BY34" t="s">
        <v>1544</v>
      </c>
      <c r="BZ34" t="s">
        <v>1545</v>
      </c>
      <c r="CH34" t="s">
        <v>121</v>
      </c>
      <c r="CI34" t="s">
        <v>239</v>
      </c>
      <c r="CJ34" t="s">
        <v>378</v>
      </c>
      <c r="CK34" t="s">
        <v>149</v>
      </c>
      <c r="CL34" t="s">
        <v>149</v>
      </c>
      <c r="CM34" t="s">
        <v>126</v>
      </c>
      <c r="CO34" t="s">
        <v>387</v>
      </c>
      <c r="CP34" t="s">
        <v>388</v>
      </c>
      <c r="CQ34" t="s">
        <v>389</v>
      </c>
      <c r="CR34" t="s">
        <v>1478</v>
      </c>
      <c r="CS34" t="s">
        <v>1331</v>
      </c>
      <c r="CT34" t="s">
        <v>130</v>
      </c>
      <c r="CU34" t="s">
        <v>131</v>
      </c>
    </row>
    <row r="35" spans="1:99">
      <c r="A35" t="s">
        <v>390</v>
      </c>
      <c r="B35" t="s">
        <v>99</v>
      </c>
      <c r="C35" t="b">
        <v>0</v>
      </c>
      <c r="D35" t="b">
        <v>0</v>
      </c>
      <c r="E35" t="s">
        <v>100</v>
      </c>
      <c r="F35" t="s">
        <v>391</v>
      </c>
      <c r="G35" t="s">
        <v>102</v>
      </c>
      <c r="H35" t="s">
        <v>103</v>
      </c>
      <c r="I35" t="s">
        <v>100</v>
      </c>
      <c r="J35" t="b">
        <v>0</v>
      </c>
      <c r="K35" s="41">
        <v>45502.487349537027</v>
      </c>
      <c r="N35">
        <v>0</v>
      </c>
      <c r="O35" s="41">
        <v>45455.423020833332</v>
      </c>
      <c r="P35" s="41">
        <v>45813.475613425922</v>
      </c>
      <c r="Q35" s="42">
        <v>4</v>
      </c>
      <c r="R35" t="s">
        <v>105</v>
      </c>
      <c r="S35" s="42">
        <v>8192</v>
      </c>
      <c r="T35">
        <v>983</v>
      </c>
      <c r="U35">
        <v>1</v>
      </c>
      <c r="V35">
        <v>1</v>
      </c>
      <c r="W35" s="42">
        <v>122880</v>
      </c>
      <c r="Y35" t="s">
        <v>229</v>
      </c>
      <c r="Z35" t="s">
        <v>106</v>
      </c>
      <c r="AC35" t="b">
        <v>1</v>
      </c>
      <c r="AD35" t="s">
        <v>392</v>
      </c>
      <c r="AE35" t="s">
        <v>343</v>
      </c>
      <c r="AM35">
        <v>1</v>
      </c>
      <c r="AN35">
        <v>8192</v>
      </c>
      <c r="AO35" t="s">
        <v>328</v>
      </c>
      <c r="AP35" t="s">
        <v>235</v>
      </c>
      <c r="AQ35" t="s">
        <v>236</v>
      </c>
      <c r="AS35" t="b">
        <v>1</v>
      </c>
      <c r="AT35" t="s">
        <v>113</v>
      </c>
      <c r="AV35" t="s">
        <v>104</v>
      </c>
      <c r="AW35">
        <v>-1</v>
      </c>
      <c r="AX35">
        <v>-1</v>
      </c>
      <c r="AZ35">
        <v>131543</v>
      </c>
      <c r="BA35">
        <v>131543</v>
      </c>
      <c r="BB35">
        <v>122880</v>
      </c>
      <c r="BC35" t="s">
        <v>114</v>
      </c>
      <c r="BD35" t="s">
        <v>115</v>
      </c>
      <c r="BE35" t="s">
        <v>116</v>
      </c>
      <c r="BH35" t="b">
        <v>0</v>
      </c>
      <c r="BI35">
        <v>0</v>
      </c>
      <c r="BJ35">
        <v>10000</v>
      </c>
      <c r="BK35" t="b">
        <v>0</v>
      </c>
      <c r="BL35" t="b">
        <v>0</v>
      </c>
      <c r="BN35" t="b">
        <v>0</v>
      </c>
      <c r="BO35" t="s">
        <v>117</v>
      </c>
      <c r="BP35">
        <v>19</v>
      </c>
      <c r="BQ35" t="s">
        <v>115</v>
      </c>
      <c r="BR35" t="s">
        <v>118</v>
      </c>
      <c r="BT35" t="s">
        <v>393</v>
      </c>
      <c r="BU35" t="s">
        <v>394</v>
      </c>
      <c r="BV35" t="s">
        <v>394</v>
      </c>
      <c r="BW35" t="s">
        <v>394</v>
      </c>
      <c r="BY35" t="s">
        <v>1546</v>
      </c>
      <c r="BZ35" t="s">
        <v>1547</v>
      </c>
      <c r="CH35" t="s">
        <v>121</v>
      </c>
      <c r="CI35" t="s">
        <v>239</v>
      </c>
      <c r="CJ35" t="s">
        <v>240</v>
      </c>
      <c r="CK35" t="s">
        <v>149</v>
      </c>
      <c r="CL35" t="s">
        <v>149</v>
      </c>
      <c r="CM35" t="s">
        <v>126</v>
      </c>
      <c r="CO35" t="s">
        <v>395</v>
      </c>
      <c r="CP35" t="s">
        <v>396</v>
      </c>
      <c r="CQ35" t="s">
        <v>397</v>
      </c>
      <c r="CR35" t="s">
        <v>1478</v>
      </c>
      <c r="CS35" t="s">
        <v>1331</v>
      </c>
      <c r="CT35" t="s">
        <v>130</v>
      </c>
      <c r="CU35" t="s">
        <v>131</v>
      </c>
    </row>
    <row r="36" spans="1:99">
      <c r="A36" t="s">
        <v>398</v>
      </c>
      <c r="B36" t="s">
        <v>99</v>
      </c>
      <c r="C36" t="b">
        <v>0</v>
      </c>
      <c r="D36" t="b">
        <v>0</v>
      </c>
      <c r="E36" t="s">
        <v>100</v>
      </c>
      <c r="F36" t="s">
        <v>399</v>
      </c>
      <c r="G36" t="s">
        <v>102</v>
      </c>
      <c r="H36" t="s">
        <v>103</v>
      </c>
      <c r="I36" t="s">
        <v>100</v>
      </c>
      <c r="J36" t="b">
        <v>0</v>
      </c>
      <c r="K36" s="41">
        <v>45502.477430555547</v>
      </c>
      <c r="N36">
        <v>0</v>
      </c>
      <c r="O36" s="41">
        <v>45455.425497685188</v>
      </c>
      <c r="P36" s="41">
        <v>45887.696168981478</v>
      </c>
      <c r="Q36" s="42">
        <v>4</v>
      </c>
      <c r="R36" t="s">
        <v>105</v>
      </c>
      <c r="S36" s="42">
        <v>8192</v>
      </c>
      <c r="T36">
        <v>1064</v>
      </c>
      <c r="U36">
        <v>1</v>
      </c>
      <c r="V36">
        <v>1</v>
      </c>
      <c r="W36" s="42">
        <v>122880</v>
      </c>
      <c r="Y36" t="s">
        <v>229</v>
      </c>
      <c r="Z36" t="s">
        <v>106</v>
      </c>
      <c r="AC36" t="b">
        <v>1</v>
      </c>
      <c r="AD36" t="s">
        <v>400</v>
      </c>
      <c r="AE36" t="s">
        <v>343</v>
      </c>
      <c r="AM36">
        <v>1</v>
      </c>
      <c r="AN36">
        <v>8192</v>
      </c>
      <c r="AO36" t="s">
        <v>328</v>
      </c>
      <c r="AP36" t="s">
        <v>235</v>
      </c>
      <c r="AQ36" t="s">
        <v>236</v>
      </c>
      <c r="AS36" t="b">
        <v>1</v>
      </c>
      <c r="AT36" t="s">
        <v>113</v>
      </c>
      <c r="AV36" t="s">
        <v>104</v>
      </c>
      <c r="AW36">
        <v>-1</v>
      </c>
      <c r="AX36">
        <v>-1</v>
      </c>
      <c r="AZ36">
        <v>131752</v>
      </c>
      <c r="BA36">
        <v>131752</v>
      </c>
      <c r="BB36">
        <v>122880</v>
      </c>
      <c r="BC36" t="s">
        <v>114</v>
      </c>
      <c r="BD36" t="s">
        <v>115</v>
      </c>
      <c r="BE36" t="s">
        <v>116</v>
      </c>
      <c r="BH36" t="b">
        <v>0</v>
      </c>
      <c r="BI36">
        <v>0</v>
      </c>
      <c r="BJ36">
        <v>10000</v>
      </c>
      <c r="BK36" t="b">
        <v>0</v>
      </c>
      <c r="BL36" t="b">
        <v>0</v>
      </c>
      <c r="BN36" t="b">
        <v>0</v>
      </c>
      <c r="BO36" t="s">
        <v>117</v>
      </c>
      <c r="BP36">
        <v>19</v>
      </c>
      <c r="BQ36" t="s">
        <v>115</v>
      </c>
      <c r="BR36" t="s">
        <v>118</v>
      </c>
      <c r="BT36" t="s">
        <v>401</v>
      </c>
      <c r="BU36" t="s">
        <v>402</v>
      </c>
      <c r="BV36" t="s">
        <v>402</v>
      </c>
      <c r="BW36" t="s">
        <v>402</v>
      </c>
      <c r="BY36" t="s">
        <v>1548</v>
      </c>
      <c r="BZ36" t="s">
        <v>1549</v>
      </c>
      <c r="CH36" t="s">
        <v>121</v>
      </c>
      <c r="CI36" t="s">
        <v>239</v>
      </c>
      <c r="CJ36" t="s">
        <v>240</v>
      </c>
      <c r="CK36" t="s">
        <v>149</v>
      </c>
      <c r="CL36" t="s">
        <v>149</v>
      </c>
      <c r="CM36" t="s">
        <v>126</v>
      </c>
      <c r="CO36" t="s">
        <v>403</v>
      </c>
      <c r="CP36" t="s">
        <v>404</v>
      </c>
      <c r="CQ36" t="s">
        <v>405</v>
      </c>
      <c r="CR36" t="s">
        <v>1478</v>
      </c>
      <c r="CS36" t="s">
        <v>1331</v>
      </c>
      <c r="CT36" t="s">
        <v>130</v>
      </c>
      <c r="CU36" t="s">
        <v>131</v>
      </c>
    </row>
    <row r="37" spans="1:99">
      <c r="A37" t="s">
        <v>406</v>
      </c>
      <c r="B37" t="s">
        <v>99</v>
      </c>
      <c r="C37" t="b">
        <v>0</v>
      </c>
      <c r="D37" t="b">
        <v>0</v>
      </c>
      <c r="E37" t="s">
        <v>100</v>
      </c>
      <c r="F37" t="s">
        <v>407</v>
      </c>
      <c r="G37" t="s">
        <v>102</v>
      </c>
      <c r="H37" t="s">
        <v>103</v>
      </c>
      <c r="I37" t="s">
        <v>100</v>
      </c>
      <c r="J37" t="b">
        <v>0</v>
      </c>
      <c r="K37" s="41">
        <v>45502.48033564815</v>
      </c>
      <c r="N37">
        <v>0</v>
      </c>
      <c r="O37" s="41">
        <v>45455.427812499998</v>
      </c>
      <c r="P37" s="41">
        <v>45916.834293981483</v>
      </c>
      <c r="Q37" s="42">
        <v>4</v>
      </c>
      <c r="R37" t="s">
        <v>105</v>
      </c>
      <c r="S37" s="42">
        <v>8192</v>
      </c>
      <c r="T37">
        <v>1392</v>
      </c>
      <c r="U37">
        <v>1</v>
      </c>
      <c r="V37">
        <v>1</v>
      </c>
      <c r="W37" s="42">
        <v>122880</v>
      </c>
      <c r="Y37" t="s">
        <v>229</v>
      </c>
      <c r="Z37" t="s">
        <v>106</v>
      </c>
      <c r="AC37" t="b">
        <v>1</v>
      </c>
      <c r="AD37" t="s">
        <v>142</v>
      </c>
      <c r="AE37" t="s">
        <v>343</v>
      </c>
      <c r="AM37">
        <v>1</v>
      </c>
      <c r="AN37">
        <v>8192</v>
      </c>
      <c r="AO37" t="s">
        <v>328</v>
      </c>
      <c r="AP37" t="s">
        <v>235</v>
      </c>
      <c r="AQ37" t="s">
        <v>236</v>
      </c>
      <c r="AS37" t="b">
        <v>1</v>
      </c>
      <c r="AT37" t="s">
        <v>113</v>
      </c>
      <c r="AV37" t="s">
        <v>104</v>
      </c>
      <c r="AW37">
        <v>-1</v>
      </c>
      <c r="AX37">
        <v>-1</v>
      </c>
      <c r="AZ37">
        <v>131366</v>
      </c>
      <c r="BA37">
        <v>131366</v>
      </c>
      <c r="BB37">
        <v>122880</v>
      </c>
      <c r="BC37" t="s">
        <v>114</v>
      </c>
      <c r="BD37" t="s">
        <v>115</v>
      </c>
      <c r="BE37" t="s">
        <v>116</v>
      </c>
      <c r="BH37" t="b">
        <v>0</v>
      </c>
      <c r="BI37">
        <v>0</v>
      </c>
      <c r="BJ37">
        <v>10000</v>
      </c>
      <c r="BK37" t="b">
        <v>0</v>
      </c>
      <c r="BL37" t="b">
        <v>0</v>
      </c>
      <c r="BN37" t="b">
        <v>0</v>
      </c>
      <c r="BO37" t="s">
        <v>117</v>
      </c>
      <c r="BP37">
        <v>19</v>
      </c>
      <c r="BQ37" t="s">
        <v>115</v>
      </c>
      <c r="BR37" t="s">
        <v>118</v>
      </c>
      <c r="BT37" t="s">
        <v>408</v>
      </c>
      <c r="BU37" t="s">
        <v>409</v>
      </c>
      <c r="BV37" t="s">
        <v>409</v>
      </c>
      <c r="BW37" t="s">
        <v>409</v>
      </c>
      <c r="BY37" t="s">
        <v>1550</v>
      </c>
      <c r="BZ37" t="s">
        <v>1551</v>
      </c>
      <c r="CH37" t="s">
        <v>121</v>
      </c>
      <c r="CI37" t="s">
        <v>239</v>
      </c>
      <c r="CJ37" t="s">
        <v>378</v>
      </c>
      <c r="CK37" t="s">
        <v>149</v>
      </c>
      <c r="CL37" t="s">
        <v>149</v>
      </c>
      <c r="CM37" t="s">
        <v>126</v>
      </c>
      <c r="CO37" t="s">
        <v>410</v>
      </c>
      <c r="CP37" t="s">
        <v>411</v>
      </c>
      <c r="CQ37" t="s">
        <v>412</v>
      </c>
      <c r="CR37" t="s">
        <v>1478</v>
      </c>
      <c r="CS37" t="s">
        <v>1331</v>
      </c>
      <c r="CT37" t="s">
        <v>130</v>
      </c>
      <c r="CU37" t="s">
        <v>131</v>
      </c>
    </row>
    <row r="38" spans="1:99">
      <c r="A38" t="s">
        <v>413</v>
      </c>
      <c r="B38" t="s">
        <v>99</v>
      </c>
      <c r="C38" t="b">
        <v>0</v>
      </c>
      <c r="D38" t="b">
        <v>0</v>
      </c>
      <c r="E38" t="s">
        <v>100</v>
      </c>
      <c r="F38" t="s">
        <v>414</v>
      </c>
      <c r="G38" t="s">
        <v>102</v>
      </c>
      <c r="H38" t="s">
        <v>103</v>
      </c>
      <c r="I38" t="s">
        <v>100</v>
      </c>
      <c r="J38" t="b">
        <v>0</v>
      </c>
      <c r="K38" s="41">
        <v>45698.356238425928</v>
      </c>
      <c r="N38">
        <v>0</v>
      </c>
      <c r="O38" s="41">
        <v>45455.4297337963</v>
      </c>
      <c r="P38" s="41">
        <v>45874.705011574071</v>
      </c>
      <c r="Q38" s="42">
        <v>4</v>
      </c>
      <c r="R38" t="s">
        <v>105</v>
      </c>
      <c r="S38" s="42">
        <v>8192</v>
      </c>
      <c r="T38">
        <v>819</v>
      </c>
      <c r="U38">
        <v>1</v>
      </c>
      <c r="V38">
        <v>1</v>
      </c>
      <c r="W38" s="42">
        <v>122880</v>
      </c>
      <c r="Y38" t="s">
        <v>229</v>
      </c>
      <c r="Z38" t="s">
        <v>106</v>
      </c>
      <c r="AC38" t="b">
        <v>1</v>
      </c>
      <c r="AD38" t="s">
        <v>415</v>
      </c>
      <c r="AE38" t="s">
        <v>343</v>
      </c>
      <c r="AM38">
        <v>1</v>
      </c>
      <c r="AN38">
        <v>8192</v>
      </c>
      <c r="AO38" t="s">
        <v>328</v>
      </c>
      <c r="AP38" t="s">
        <v>235</v>
      </c>
      <c r="AQ38" t="s">
        <v>236</v>
      </c>
      <c r="AS38" t="b">
        <v>1</v>
      </c>
      <c r="AT38" t="s">
        <v>113</v>
      </c>
      <c r="AV38" t="s">
        <v>104</v>
      </c>
      <c r="AW38">
        <v>-1</v>
      </c>
      <c r="AX38">
        <v>-1</v>
      </c>
      <c r="AZ38">
        <v>131494</v>
      </c>
      <c r="BA38">
        <v>131494</v>
      </c>
      <c r="BB38">
        <v>122880</v>
      </c>
      <c r="BC38" t="s">
        <v>114</v>
      </c>
      <c r="BD38" t="s">
        <v>115</v>
      </c>
      <c r="BE38" t="s">
        <v>116</v>
      </c>
      <c r="BH38" t="b">
        <v>0</v>
      </c>
      <c r="BI38">
        <v>0</v>
      </c>
      <c r="BJ38">
        <v>10000</v>
      </c>
      <c r="BK38" t="b">
        <v>0</v>
      </c>
      <c r="BL38" t="b">
        <v>0</v>
      </c>
      <c r="BN38" t="b">
        <v>0</v>
      </c>
      <c r="BO38" t="s">
        <v>117</v>
      </c>
      <c r="BP38">
        <v>19</v>
      </c>
      <c r="BQ38" t="s">
        <v>115</v>
      </c>
      <c r="BR38" t="s">
        <v>118</v>
      </c>
      <c r="BT38" t="s">
        <v>416</v>
      </c>
      <c r="BU38" t="s">
        <v>417</v>
      </c>
      <c r="BV38" t="s">
        <v>417</v>
      </c>
      <c r="BW38" t="s">
        <v>417</v>
      </c>
      <c r="BY38" t="s">
        <v>1552</v>
      </c>
      <c r="BZ38" t="s">
        <v>1553</v>
      </c>
      <c r="CH38" t="s">
        <v>121</v>
      </c>
      <c r="CI38" t="s">
        <v>239</v>
      </c>
      <c r="CJ38" t="s">
        <v>240</v>
      </c>
      <c r="CK38" t="s">
        <v>149</v>
      </c>
      <c r="CL38" t="s">
        <v>149</v>
      </c>
      <c r="CM38" t="s">
        <v>126</v>
      </c>
      <c r="CO38" t="s">
        <v>418</v>
      </c>
      <c r="CP38" t="s">
        <v>419</v>
      </c>
      <c r="CQ38" t="s">
        <v>420</v>
      </c>
      <c r="CR38" t="s">
        <v>1478</v>
      </c>
      <c r="CS38" t="s">
        <v>1331</v>
      </c>
      <c r="CT38" t="s">
        <v>130</v>
      </c>
      <c r="CU38" t="s">
        <v>131</v>
      </c>
    </row>
    <row r="39" spans="1:99">
      <c r="A39" t="s">
        <v>421</v>
      </c>
      <c r="B39" t="s">
        <v>99</v>
      </c>
      <c r="C39" t="b">
        <v>0</v>
      </c>
      <c r="D39" t="b">
        <v>0</v>
      </c>
      <c r="E39" t="s">
        <v>100</v>
      </c>
      <c r="F39" t="s">
        <v>422</v>
      </c>
      <c r="G39" t="s">
        <v>102</v>
      </c>
      <c r="H39" t="s">
        <v>103</v>
      </c>
      <c r="I39" t="s">
        <v>100</v>
      </c>
      <c r="J39" t="b">
        <v>0</v>
      </c>
      <c r="K39" s="41">
        <v>45502.474490740737</v>
      </c>
      <c r="N39">
        <v>0</v>
      </c>
      <c r="O39" s="41">
        <v>45455.402800925927</v>
      </c>
      <c r="P39" s="41">
        <v>45820.986134259263</v>
      </c>
      <c r="Q39" s="42">
        <v>4</v>
      </c>
      <c r="R39" t="s">
        <v>105</v>
      </c>
      <c r="S39" s="42">
        <v>8192</v>
      </c>
      <c r="T39">
        <v>1064</v>
      </c>
      <c r="U39">
        <v>1</v>
      </c>
      <c r="V39">
        <v>1</v>
      </c>
      <c r="W39" s="42">
        <v>122880</v>
      </c>
      <c r="Y39" t="s">
        <v>229</v>
      </c>
      <c r="Z39" t="s">
        <v>106</v>
      </c>
      <c r="AC39" t="b">
        <v>1</v>
      </c>
      <c r="AD39" t="s">
        <v>423</v>
      </c>
      <c r="AE39" t="s">
        <v>343</v>
      </c>
      <c r="AM39">
        <v>1</v>
      </c>
      <c r="AN39">
        <v>8192</v>
      </c>
      <c r="AO39" t="s">
        <v>328</v>
      </c>
      <c r="AP39" t="s">
        <v>235</v>
      </c>
      <c r="AQ39" t="s">
        <v>236</v>
      </c>
      <c r="AS39" t="b">
        <v>1</v>
      </c>
      <c r="AT39" t="s">
        <v>113</v>
      </c>
      <c r="AV39" t="s">
        <v>104</v>
      </c>
      <c r="AW39">
        <v>-1</v>
      </c>
      <c r="AX39">
        <v>-1</v>
      </c>
      <c r="AZ39">
        <v>131850</v>
      </c>
      <c r="BA39">
        <v>131850</v>
      </c>
      <c r="BB39">
        <v>122880</v>
      </c>
      <c r="BC39" t="s">
        <v>114</v>
      </c>
      <c r="BD39" t="s">
        <v>115</v>
      </c>
      <c r="BE39" t="s">
        <v>116</v>
      </c>
      <c r="BH39" t="b">
        <v>0</v>
      </c>
      <c r="BI39">
        <v>0</v>
      </c>
      <c r="BJ39">
        <v>10000</v>
      </c>
      <c r="BK39" t="b">
        <v>0</v>
      </c>
      <c r="BL39" t="b">
        <v>0</v>
      </c>
      <c r="BN39" t="b">
        <v>0</v>
      </c>
      <c r="BO39" t="s">
        <v>117</v>
      </c>
      <c r="BP39">
        <v>19</v>
      </c>
      <c r="BQ39" t="s">
        <v>115</v>
      </c>
      <c r="BR39" t="s">
        <v>118</v>
      </c>
      <c r="BT39" t="s">
        <v>424</v>
      </c>
      <c r="BU39" t="s">
        <v>425</v>
      </c>
      <c r="BV39" t="s">
        <v>425</v>
      </c>
      <c r="BW39" t="s">
        <v>425</v>
      </c>
      <c r="BY39" t="s">
        <v>1554</v>
      </c>
      <c r="BZ39" t="s">
        <v>1555</v>
      </c>
      <c r="CH39" t="s">
        <v>121</v>
      </c>
      <c r="CI39" t="s">
        <v>239</v>
      </c>
      <c r="CJ39" t="s">
        <v>1298</v>
      </c>
      <c r="CK39" t="s">
        <v>149</v>
      </c>
      <c r="CL39" t="s">
        <v>149</v>
      </c>
      <c r="CM39" t="s">
        <v>126</v>
      </c>
      <c r="CO39" t="s">
        <v>426</v>
      </c>
      <c r="CP39" t="s">
        <v>427</v>
      </c>
      <c r="CQ39" t="s">
        <v>428</v>
      </c>
      <c r="CR39" t="s">
        <v>1478</v>
      </c>
      <c r="CS39" t="s">
        <v>1331</v>
      </c>
      <c r="CT39" t="s">
        <v>130</v>
      </c>
      <c r="CU39" t="s">
        <v>131</v>
      </c>
    </row>
    <row r="40" spans="1:99">
      <c r="A40" t="s">
        <v>429</v>
      </c>
      <c r="B40" t="s">
        <v>99</v>
      </c>
      <c r="C40" t="b">
        <v>0</v>
      </c>
      <c r="D40" t="b">
        <v>0</v>
      </c>
      <c r="E40" t="s">
        <v>100</v>
      </c>
      <c r="F40" t="s">
        <v>430</v>
      </c>
      <c r="G40" t="s">
        <v>102</v>
      </c>
      <c r="H40" t="s">
        <v>103</v>
      </c>
      <c r="I40" t="s">
        <v>100</v>
      </c>
      <c r="J40" t="b">
        <v>0</v>
      </c>
      <c r="K40" s="41">
        <v>45697.778391203698</v>
      </c>
      <c r="N40">
        <v>0</v>
      </c>
      <c r="O40" s="41">
        <v>45455.405682870369</v>
      </c>
      <c r="P40" s="41">
        <v>45930.867037037038</v>
      </c>
      <c r="Q40" s="42">
        <v>4</v>
      </c>
      <c r="R40" t="s">
        <v>105</v>
      </c>
      <c r="S40" s="42">
        <v>3072</v>
      </c>
      <c r="T40">
        <v>184</v>
      </c>
      <c r="U40">
        <v>1</v>
      </c>
      <c r="V40">
        <v>1</v>
      </c>
      <c r="W40" s="42">
        <v>122880</v>
      </c>
      <c r="Y40" t="s">
        <v>229</v>
      </c>
      <c r="Z40" t="s">
        <v>106</v>
      </c>
      <c r="AC40" t="b">
        <v>1</v>
      </c>
      <c r="AD40" t="s">
        <v>431</v>
      </c>
      <c r="AE40" t="s">
        <v>343</v>
      </c>
      <c r="AM40">
        <v>1</v>
      </c>
      <c r="AN40">
        <v>16384</v>
      </c>
      <c r="AO40" t="s">
        <v>328</v>
      </c>
      <c r="AP40" t="s">
        <v>235</v>
      </c>
      <c r="AQ40" t="s">
        <v>236</v>
      </c>
      <c r="AS40" t="b">
        <v>1</v>
      </c>
      <c r="AT40" t="s">
        <v>113</v>
      </c>
      <c r="AV40" t="s">
        <v>104</v>
      </c>
      <c r="AW40">
        <v>-1</v>
      </c>
      <c r="AX40">
        <v>-1</v>
      </c>
      <c r="AZ40">
        <v>126043</v>
      </c>
      <c r="BA40">
        <v>126043</v>
      </c>
      <c r="BB40">
        <v>122880</v>
      </c>
      <c r="BC40" t="s">
        <v>114</v>
      </c>
      <c r="BD40" t="s">
        <v>115</v>
      </c>
      <c r="BE40" t="s">
        <v>116</v>
      </c>
      <c r="BH40" t="b">
        <v>0</v>
      </c>
      <c r="BI40">
        <v>0</v>
      </c>
      <c r="BJ40">
        <v>10000</v>
      </c>
      <c r="BK40" t="b">
        <v>0</v>
      </c>
      <c r="BL40" t="b">
        <v>0</v>
      </c>
      <c r="BN40" t="b">
        <v>0</v>
      </c>
      <c r="BO40" t="s">
        <v>117</v>
      </c>
      <c r="BP40">
        <v>19</v>
      </c>
      <c r="BQ40" t="s">
        <v>115</v>
      </c>
      <c r="BR40" t="s">
        <v>118</v>
      </c>
      <c r="BT40" t="s">
        <v>432</v>
      </c>
      <c r="BU40" t="s">
        <v>433</v>
      </c>
      <c r="BV40" t="s">
        <v>433</v>
      </c>
      <c r="BW40" t="s">
        <v>433</v>
      </c>
      <c r="BY40" t="s">
        <v>1556</v>
      </c>
      <c r="BZ40" t="s">
        <v>1557</v>
      </c>
      <c r="CH40" t="s">
        <v>121</v>
      </c>
      <c r="CI40" t="s">
        <v>239</v>
      </c>
      <c r="CJ40" t="s">
        <v>259</v>
      </c>
      <c r="CK40" t="s">
        <v>149</v>
      </c>
      <c r="CL40" t="s">
        <v>149</v>
      </c>
      <c r="CM40" t="s">
        <v>126</v>
      </c>
      <c r="CO40" t="s">
        <v>434</v>
      </c>
      <c r="CP40" t="s">
        <v>435</v>
      </c>
      <c r="CQ40" t="s">
        <v>436</v>
      </c>
      <c r="CR40" t="s">
        <v>1478</v>
      </c>
      <c r="CS40" t="s">
        <v>1331</v>
      </c>
      <c r="CT40" t="s">
        <v>130</v>
      </c>
      <c r="CU40" t="s">
        <v>131</v>
      </c>
    </row>
    <row r="41" spans="1:99">
      <c r="A41" t="s">
        <v>437</v>
      </c>
      <c r="B41" t="s">
        <v>99</v>
      </c>
      <c r="C41" t="b">
        <v>0</v>
      </c>
      <c r="D41" t="b">
        <v>0</v>
      </c>
      <c r="E41" t="s">
        <v>100</v>
      </c>
      <c r="F41" t="s">
        <v>438</v>
      </c>
      <c r="G41" t="s">
        <v>102</v>
      </c>
      <c r="H41" t="s">
        <v>103</v>
      </c>
      <c r="I41" t="s">
        <v>100</v>
      </c>
      <c r="J41" t="b">
        <v>0</v>
      </c>
      <c r="K41" s="41">
        <v>45468.658842592587</v>
      </c>
      <c r="N41">
        <v>0</v>
      </c>
      <c r="O41" s="41">
        <v>45455.407812500001</v>
      </c>
      <c r="P41" s="41">
        <v>45929.425833333327</v>
      </c>
      <c r="Q41" s="42">
        <v>8</v>
      </c>
      <c r="R41" t="s">
        <v>105</v>
      </c>
      <c r="S41" s="42">
        <v>20480</v>
      </c>
      <c r="T41">
        <v>409</v>
      </c>
      <c r="U41">
        <v>1</v>
      </c>
      <c r="V41">
        <v>1</v>
      </c>
      <c r="W41" s="42">
        <v>122880</v>
      </c>
      <c r="Y41" t="s">
        <v>229</v>
      </c>
      <c r="Z41" t="s">
        <v>106</v>
      </c>
      <c r="AC41" t="b">
        <v>1</v>
      </c>
      <c r="AD41" t="s">
        <v>439</v>
      </c>
      <c r="AE41" t="s">
        <v>343</v>
      </c>
      <c r="AM41">
        <v>1</v>
      </c>
      <c r="AN41">
        <v>8192</v>
      </c>
      <c r="AO41" t="s">
        <v>328</v>
      </c>
      <c r="AP41" t="s">
        <v>235</v>
      </c>
      <c r="AQ41" t="s">
        <v>236</v>
      </c>
      <c r="AS41" t="b">
        <v>1</v>
      </c>
      <c r="AT41" t="s">
        <v>113</v>
      </c>
      <c r="AV41" t="s">
        <v>104</v>
      </c>
      <c r="AW41">
        <v>-1</v>
      </c>
      <c r="AX41">
        <v>-1</v>
      </c>
      <c r="AZ41">
        <v>143623</v>
      </c>
      <c r="BA41">
        <v>143623</v>
      </c>
      <c r="BB41">
        <v>122880</v>
      </c>
      <c r="BC41" t="s">
        <v>114</v>
      </c>
      <c r="BD41" t="s">
        <v>115</v>
      </c>
      <c r="BE41" t="s">
        <v>116</v>
      </c>
      <c r="BH41" t="b">
        <v>0</v>
      </c>
      <c r="BI41">
        <v>0</v>
      </c>
      <c r="BJ41">
        <v>10000</v>
      </c>
      <c r="BK41" t="b">
        <v>0</v>
      </c>
      <c r="BL41" t="b">
        <v>0</v>
      </c>
      <c r="BN41" t="b">
        <v>0</v>
      </c>
      <c r="BO41" t="s">
        <v>117</v>
      </c>
      <c r="BP41">
        <v>19</v>
      </c>
      <c r="BQ41" t="s">
        <v>115</v>
      </c>
      <c r="BR41" t="s">
        <v>118</v>
      </c>
      <c r="BT41" t="s">
        <v>440</v>
      </c>
      <c r="BU41" t="s">
        <v>441</v>
      </c>
      <c r="BV41" t="s">
        <v>441</v>
      </c>
      <c r="BW41" t="s">
        <v>441</v>
      </c>
      <c r="BY41" t="s">
        <v>1558</v>
      </c>
      <c r="BZ41" t="s">
        <v>1559</v>
      </c>
      <c r="CH41" t="s">
        <v>121</v>
      </c>
      <c r="CI41" t="s">
        <v>239</v>
      </c>
      <c r="CJ41" t="s">
        <v>378</v>
      </c>
      <c r="CK41" t="s">
        <v>149</v>
      </c>
      <c r="CL41" t="s">
        <v>149</v>
      </c>
      <c r="CM41" t="s">
        <v>126</v>
      </c>
      <c r="CO41" t="s">
        <v>442</v>
      </c>
      <c r="CP41" t="s">
        <v>443</v>
      </c>
      <c r="CQ41" t="s">
        <v>444</v>
      </c>
      <c r="CR41" t="s">
        <v>1478</v>
      </c>
      <c r="CS41" t="s">
        <v>1331</v>
      </c>
      <c r="CT41" t="s">
        <v>130</v>
      </c>
      <c r="CU41" t="s">
        <v>131</v>
      </c>
    </row>
    <row r="42" spans="1:99">
      <c r="A42" t="s">
        <v>445</v>
      </c>
      <c r="B42" t="s">
        <v>99</v>
      </c>
      <c r="C42" t="b">
        <v>0</v>
      </c>
      <c r="D42" t="b">
        <v>0</v>
      </c>
      <c r="E42" t="s">
        <v>100</v>
      </c>
      <c r="F42" t="s">
        <v>1346</v>
      </c>
      <c r="G42" t="s">
        <v>102</v>
      </c>
      <c r="H42" t="s">
        <v>103</v>
      </c>
      <c r="I42" t="s">
        <v>104</v>
      </c>
      <c r="J42" t="b">
        <v>0</v>
      </c>
      <c r="K42" s="41">
        <v>45825.794560185182</v>
      </c>
      <c r="N42">
        <v>0</v>
      </c>
      <c r="O42" s="41">
        <v>45482.506527777783</v>
      </c>
      <c r="P42" s="41">
        <v>45930.893425925933</v>
      </c>
      <c r="Q42" s="42">
        <v>8</v>
      </c>
      <c r="R42" t="s">
        <v>105</v>
      </c>
      <c r="S42" s="42">
        <v>8192</v>
      </c>
      <c r="T42">
        <v>327</v>
      </c>
      <c r="U42">
        <v>3</v>
      </c>
      <c r="V42">
        <v>1</v>
      </c>
      <c r="W42" s="42">
        <v>105472</v>
      </c>
      <c r="Y42" t="s">
        <v>229</v>
      </c>
      <c r="Z42" t="s">
        <v>106</v>
      </c>
      <c r="AC42" t="b">
        <v>1</v>
      </c>
      <c r="AD42" t="s">
        <v>447</v>
      </c>
      <c r="AE42" t="s">
        <v>232</v>
      </c>
      <c r="AF42" t="s">
        <v>233</v>
      </c>
      <c r="AG42" t="s">
        <v>448</v>
      </c>
      <c r="AM42">
        <v>1</v>
      </c>
      <c r="AN42">
        <v>8192</v>
      </c>
      <c r="AO42" t="s">
        <v>328</v>
      </c>
      <c r="AP42" t="s">
        <v>144</v>
      </c>
      <c r="AQ42" t="s">
        <v>145</v>
      </c>
      <c r="AS42" t="b">
        <v>1</v>
      </c>
      <c r="AT42" t="s">
        <v>113</v>
      </c>
      <c r="AV42" t="s">
        <v>104</v>
      </c>
      <c r="AW42">
        <v>-1</v>
      </c>
      <c r="AX42">
        <v>-1</v>
      </c>
      <c r="AZ42">
        <v>113786</v>
      </c>
      <c r="BA42">
        <v>113786</v>
      </c>
      <c r="BB42">
        <v>105472</v>
      </c>
      <c r="BC42" t="s">
        <v>114</v>
      </c>
      <c r="BD42" t="s">
        <v>115</v>
      </c>
      <c r="BE42" t="s">
        <v>116</v>
      </c>
      <c r="BH42" t="b">
        <v>0</v>
      </c>
      <c r="BI42">
        <v>0</v>
      </c>
      <c r="BJ42">
        <v>10000</v>
      </c>
      <c r="BK42" t="b">
        <v>0</v>
      </c>
      <c r="BL42" t="b">
        <v>0</v>
      </c>
      <c r="BN42" t="b">
        <v>0</v>
      </c>
      <c r="BO42" t="s">
        <v>117</v>
      </c>
      <c r="BP42">
        <v>19</v>
      </c>
      <c r="BQ42" t="s">
        <v>115</v>
      </c>
      <c r="BR42" t="s">
        <v>118</v>
      </c>
      <c r="BT42" t="s">
        <v>1560</v>
      </c>
      <c r="BU42" t="s">
        <v>1561</v>
      </c>
      <c r="BV42" t="s">
        <v>1561</v>
      </c>
      <c r="BW42" t="s">
        <v>1561</v>
      </c>
      <c r="BX42" t="s">
        <v>449</v>
      </c>
      <c r="BY42" t="s">
        <v>1562</v>
      </c>
      <c r="BZ42" t="s">
        <v>1563</v>
      </c>
      <c r="CH42" t="s">
        <v>121</v>
      </c>
      <c r="CI42" t="s">
        <v>239</v>
      </c>
      <c r="CJ42" t="s">
        <v>259</v>
      </c>
      <c r="CK42" t="s">
        <v>149</v>
      </c>
      <c r="CL42" t="s">
        <v>149</v>
      </c>
      <c r="CM42" t="s">
        <v>126</v>
      </c>
      <c r="CO42" t="s">
        <v>450</v>
      </c>
      <c r="CP42" t="s">
        <v>451</v>
      </c>
      <c r="CQ42" t="s">
        <v>452</v>
      </c>
      <c r="CR42" t="s">
        <v>1478</v>
      </c>
      <c r="CS42" t="s">
        <v>1331</v>
      </c>
      <c r="CT42" t="s">
        <v>130</v>
      </c>
      <c r="CU42" t="s">
        <v>131</v>
      </c>
    </row>
    <row r="43" spans="1:99">
      <c r="A43" t="s">
        <v>453</v>
      </c>
      <c r="B43" t="s">
        <v>99</v>
      </c>
      <c r="C43" t="b">
        <v>0</v>
      </c>
      <c r="D43" t="b">
        <v>0</v>
      </c>
      <c r="E43" t="s">
        <v>100</v>
      </c>
      <c r="F43" t="s">
        <v>454</v>
      </c>
      <c r="G43" t="s">
        <v>102</v>
      </c>
      <c r="H43" t="s">
        <v>103</v>
      </c>
      <c r="I43" t="s">
        <v>100</v>
      </c>
      <c r="J43" t="b">
        <v>0</v>
      </c>
      <c r="K43" s="41">
        <v>45912.55028935185</v>
      </c>
      <c r="N43">
        <v>0</v>
      </c>
      <c r="O43" s="41">
        <v>45482.599560185183</v>
      </c>
      <c r="P43" s="41">
        <v>45912.388935185183</v>
      </c>
      <c r="Q43" s="42">
        <v>8</v>
      </c>
      <c r="R43" t="s">
        <v>105</v>
      </c>
      <c r="S43" s="42">
        <v>8192</v>
      </c>
      <c r="T43">
        <v>327</v>
      </c>
      <c r="U43">
        <v>3</v>
      </c>
      <c r="V43">
        <v>1</v>
      </c>
      <c r="W43" s="42">
        <v>105472</v>
      </c>
      <c r="Y43" t="s">
        <v>229</v>
      </c>
      <c r="Z43" t="s">
        <v>106</v>
      </c>
      <c r="AC43" t="b">
        <v>1</v>
      </c>
      <c r="AD43" t="s">
        <v>455</v>
      </c>
      <c r="AE43" t="s">
        <v>232</v>
      </c>
      <c r="AF43" t="s">
        <v>233</v>
      </c>
      <c r="AG43" t="s">
        <v>448</v>
      </c>
      <c r="AM43">
        <v>1</v>
      </c>
      <c r="AN43">
        <v>8192</v>
      </c>
      <c r="AO43" t="s">
        <v>328</v>
      </c>
      <c r="AP43" t="s">
        <v>144</v>
      </c>
      <c r="AQ43" t="s">
        <v>145</v>
      </c>
      <c r="AS43" t="b">
        <v>1</v>
      </c>
      <c r="AT43" t="s">
        <v>113</v>
      </c>
      <c r="AV43" t="s">
        <v>104</v>
      </c>
      <c r="AW43">
        <v>-1</v>
      </c>
      <c r="AX43">
        <v>-1</v>
      </c>
      <c r="AZ43">
        <v>113827</v>
      </c>
      <c r="BA43">
        <v>113827</v>
      </c>
      <c r="BB43">
        <v>105472</v>
      </c>
      <c r="BC43" t="s">
        <v>114</v>
      </c>
      <c r="BD43" t="s">
        <v>115</v>
      </c>
      <c r="BE43" t="s">
        <v>116</v>
      </c>
      <c r="BH43" t="b">
        <v>0</v>
      </c>
      <c r="BI43">
        <v>0</v>
      </c>
      <c r="BJ43">
        <v>10000</v>
      </c>
      <c r="BK43" t="b">
        <v>0</v>
      </c>
      <c r="BL43" t="b">
        <v>0</v>
      </c>
      <c r="BN43" t="b">
        <v>0</v>
      </c>
      <c r="BO43" t="s">
        <v>117</v>
      </c>
      <c r="BP43">
        <v>19</v>
      </c>
      <c r="BQ43" t="s">
        <v>115</v>
      </c>
      <c r="BR43" t="s">
        <v>118</v>
      </c>
      <c r="BT43" t="s">
        <v>1564</v>
      </c>
      <c r="BU43" t="s">
        <v>1565</v>
      </c>
      <c r="BV43" t="s">
        <v>1565</v>
      </c>
      <c r="BW43" t="s">
        <v>1565</v>
      </c>
      <c r="BX43" t="s">
        <v>449</v>
      </c>
      <c r="BY43" t="s">
        <v>1566</v>
      </c>
      <c r="BZ43" t="s">
        <v>1567</v>
      </c>
      <c r="CH43" t="s">
        <v>121</v>
      </c>
      <c r="CI43" t="s">
        <v>239</v>
      </c>
      <c r="CJ43" t="s">
        <v>276</v>
      </c>
      <c r="CK43" t="s">
        <v>149</v>
      </c>
      <c r="CL43" t="s">
        <v>149</v>
      </c>
      <c r="CM43" t="s">
        <v>126</v>
      </c>
      <c r="CO43" t="s">
        <v>456</v>
      </c>
      <c r="CP43" t="s">
        <v>457</v>
      </c>
      <c r="CQ43" t="s">
        <v>458</v>
      </c>
      <c r="CR43" t="s">
        <v>1478</v>
      </c>
      <c r="CS43" t="s">
        <v>1331</v>
      </c>
      <c r="CT43" t="s">
        <v>130</v>
      </c>
      <c r="CU43" t="s">
        <v>131</v>
      </c>
    </row>
    <row r="44" spans="1:99">
      <c r="A44" t="s">
        <v>459</v>
      </c>
      <c r="B44" t="s">
        <v>99</v>
      </c>
      <c r="C44" t="b">
        <v>0</v>
      </c>
      <c r="D44" t="b">
        <v>0</v>
      </c>
      <c r="E44" t="s">
        <v>100</v>
      </c>
      <c r="F44" t="s">
        <v>460</v>
      </c>
      <c r="G44" t="s">
        <v>102</v>
      </c>
      <c r="H44" t="s">
        <v>103</v>
      </c>
      <c r="I44" t="s">
        <v>100</v>
      </c>
      <c r="J44" t="b">
        <v>0</v>
      </c>
      <c r="K44" s="41">
        <v>45773.912789351853</v>
      </c>
      <c r="N44">
        <v>0</v>
      </c>
      <c r="O44" s="41">
        <v>45545.513043981482</v>
      </c>
      <c r="P44" s="41">
        <v>45880.505798611113</v>
      </c>
      <c r="Q44" s="42">
        <v>4</v>
      </c>
      <c r="R44" t="s">
        <v>105</v>
      </c>
      <c r="S44" s="42">
        <v>32768</v>
      </c>
      <c r="T44">
        <v>1310</v>
      </c>
      <c r="U44">
        <v>3</v>
      </c>
      <c r="V44">
        <v>7</v>
      </c>
      <c r="W44" s="42">
        <v>749568</v>
      </c>
      <c r="Y44" t="s">
        <v>229</v>
      </c>
      <c r="Z44" t="s">
        <v>106</v>
      </c>
      <c r="AB44" t="b">
        <v>1</v>
      </c>
      <c r="AC44" t="b">
        <v>1</v>
      </c>
      <c r="AD44" t="s">
        <v>461</v>
      </c>
      <c r="AE44" t="s">
        <v>448</v>
      </c>
      <c r="AF44" t="s">
        <v>232</v>
      </c>
      <c r="AG44" t="s">
        <v>233</v>
      </c>
      <c r="AM44">
        <v>1</v>
      </c>
      <c r="AN44">
        <v>8192</v>
      </c>
      <c r="AO44" t="s">
        <v>328</v>
      </c>
      <c r="AP44" t="s">
        <v>144</v>
      </c>
      <c r="AQ44" t="s">
        <v>145</v>
      </c>
      <c r="AS44" t="b">
        <v>1</v>
      </c>
      <c r="AT44" t="s">
        <v>113</v>
      </c>
      <c r="AV44" t="s">
        <v>104</v>
      </c>
      <c r="AW44">
        <v>-1</v>
      </c>
      <c r="AX44">
        <v>-1</v>
      </c>
      <c r="AZ44">
        <v>783010</v>
      </c>
      <c r="BA44">
        <v>783010</v>
      </c>
      <c r="BB44">
        <v>749568</v>
      </c>
      <c r="BC44" t="s">
        <v>114</v>
      </c>
      <c r="BD44" t="s">
        <v>115</v>
      </c>
      <c r="BE44" t="s">
        <v>116</v>
      </c>
      <c r="BH44" t="b">
        <v>0</v>
      </c>
      <c r="BI44">
        <v>0</v>
      </c>
      <c r="BJ44">
        <v>10000</v>
      </c>
      <c r="BK44" t="b">
        <v>0</v>
      </c>
      <c r="BL44" t="b">
        <v>0</v>
      </c>
      <c r="BN44" t="b">
        <v>1</v>
      </c>
      <c r="BO44" t="s">
        <v>176</v>
      </c>
      <c r="BP44">
        <v>19</v>
      </c>
      <c r="BQ44" t="s">
        <v>115</v>
      </c>
      <c r="BR44" t="s">
        <v>118</v>
      </c>
      <c r="BT44" t="s">
        <v>462</v>
      </c>
      <c r="BU44" t="s">
        <v>463</v>
      </c>
      <c r="BV44" t="s">
        <v>463</v>
      </c>
      <c r="BW44" t="s">
        <v>463</v>
      </c>
      <c r="BX44" t="s">
        <v>464</v>
      </c>
      <c r="BY44" t="s">
        <v>1568</v>
      </c>
      <c r="BZ44" t="s">
        <v>1569</v>
      </c>
      <c r="CH44" t="s">
        <v>121</v>
      </c>
      <c r="CI44" t="s">
        <v>239</v>
      </c>
      <c r="CJ44" t="s">
        <v>312</v>
      </c>
      <c r="CK44" t="s">
        <v>465</v>
      </c>
      <c r="CL44" t="s">
        <v>189</v>
      </c>
      <c r="CM44" t="s">
        <v>126</v>
      </c>
      <c r="CO44" t="s">
        <v>466</v>
      </c>
      <c r="CP44" t="s">
        <v>467</v>
      </c>
      <c r="CQ44" t="s">
        <v>468</v>
      </c>
      <c r="CR44" t="s">
        <v>1478</v>
      </c>
      <c r="CS44" t="s">
        <v>1331</v>
      </c>
      <c r="CT44" t="s">
        <v>130</v>
      </c>
      <c r="CU44" t="s">
        <v>131</v>
      </c>
    </row>
    <row r="45" spans="1:99">
      <c r="A45" t="s">
        <v>1347</v>
      </c>
      <c r="B45" t="s">
        <v>99</v>
      </c>
      <c r="C45" t="b">
        <v>0</v>
      </c>
      <c r="D45" t="b">
        <v>0</v>
      </c>
      <c r="E45" t="s">
        <v>100</v>
      </c>
      <c r="F45" t="s">
        <v>1378</v>
      </c>
      <c r="G45" t="s">
        <v>102</v>
      </c>
      <c r="H45" t="s">
        <v>103</v>
      </c>
      <c r="I45" t="s">
        <v>100</v>
      </c>
      <c r="J45" t="b">
        <v>0</v>
      </c>
      <c r="K45" s="41">
        <v>45863.499664351853</v>
      </c>
      <c r="N45">
        <v>0</v>
      </c>
      <c r="O45" s="41">
        <v>45834.447800925933</v>
      </c>
      <c r="P45" s="41">
        <v>45908.030775462961</v>
      </c>
      <c r="Q45" s="42">
        <v>4</v>
      </c>
      <c r="R45" t="s">
        <v>105</v>
      </c>
      <c r="S45" s="42">
        <v>12288</v>
      </c>
      <c r="T45">
        <v>737</v>
      </c>
      <c r="U45">
        <v>3</v>
      </c>
      <c r="V45">
        <v>3</v>
      </c>
      <c r="W45" s="42">
        <v>330752</v>
      </c>
      <c r="Y45" t="s">
        <v>229</v>
      </c>
      <c r="Z45" t="s">
        <v>106</v>
      </c>
      <c r="AB45" t="b">
        <v>1</v>
      </c>
      <c r="AC45" t="b">
        <v>1</v>
      </c>
      <c r="AD45" t="s">
        <v>1348</v>
      </c>
      <c r="AE45" t="s">
        <v>232</v>
      </c>
      <c r="AF45" t="s">
        <v>448</v>
      </c>
      <c r="AG45" t="s">
        <v>233</v>
      </c>
      <c r="AM45">
        <v>1</v>
      </c>
      <c r="AN45">
        <v>8192</v>
      </c>
      <c r="AO45" t="s">
        <v>1517</v>
      </c>
      <c r="AP45" t="s">
        <v>144</v>
      </c>
      <c r="AQ45" t="s">
        <v>145</v>
      </c>
      <c r="AS45" t="b">
        <v>1</v>
      </c>
      <c r="AT45" t="s">
        <v>113</v>
      </c>
      <c r="AV45" t="s">
        <v>104</v>
      </c>
      <c r="AW45">
        <v>-1</v>
      </c>
      <c r="AX45">
        <v>-1</v>
      </c>
      <c r="AZ45">
        <v>343275</v>
      </c>
      <c r="BA45">
        <v>343275</v>
      </c>
      <c r="BB45">
        <v>330752</v>
      </c>
      <c r="BC45" t="s">
        <v>114</v>
      </c>
      <c r="BD45" t="s">
        <v>115</v>
      </c>
      <c r="BE45" t="s">
        <v>116</v>
      </c>
      <c r="BH45" t="b">
        <v>0</v>
      </c>
      <c r="BI45">
        <v>0</v>
      </c>
      <c r="BJ45">
        <v>10000</v>
      </c>
      <c r="BK45" t="b">
        <v>0</v>
      </c>
      <c r="BL45" t="b">
        <v>0</v>
      </c>
      <c r="BN45" t="b">
        <v>1</v>
      </c>
      <c r="BO45" t="s">
        <v>176</v>
      </c>
      <c r="BP45">
        <v>19</v>
      </c>
      <c r="BQ45" t="s">
        <v>115</v>
      </c>
      <c r="BR45" t="s">
        <v>118</v>
      </c>
      <c r="BT45" t="s">
        <v>1349</v>
      </c>
      <c r="BU45" t="s">
        <v>1350</v>
      </c>
      <c r="BV45" t="s">
        <v>1350</v>
      </c>
      <c r="BW45" t="s">
        <v>1350</v>
      </c>
      <c r="BX45" t="s">
        <v>1351</v>
      </c>
      <c r="BY45" t="s">
        <v>1570</v>
      </c>
      <c r="BZ45" t="s">
        <v>1571</v>
      </c>
      <c r="CH45" t="s">
        <v>121</v>
      </c>
      <c r="CI45" t="s">
        <v>239</v>
      </c>
      <c r="CJ45" t="s">
        <v>276</v>
      </c>
      <c r="CK45" t="s">
        <v>189</v>
      </c>
      <c r="CL45" t="s">
        <v>189</v>
      </c>
      <c r="CM45" t="s">
        <v>126</v>
      </c>
      <c r="CO45" t="s">
        <v>1352</v>
      </c>
      <c r="CP45" t="s">
        <v>1353</v>
      </c>
      <c r="CQ45" t="s">
        <v>1354</v>
      </c>
      <c r="CR45" t="s">
        <v>1478</v>
      </c>
      <c r="CS45" t="s">
        <v>1331</v>
      </c>
      <c r="CT45" t="s">
        <v>130</v>
      </c>
      <c r="CU45" t="s">
        <v>131</v>
      </c>
    </row>
    <row r="46" spans="1:99">
      <c r="A46" t="s">
        <v>470</v>
      </c>
      <c r="B46" t="s">
        <v>99</v>
      </c>
      <c r="C46" t="b">
        <v>0</v>
      </c>
      <c r="D46" t="b">
        <v>0</v>
      </c>
      <c r="E46" t="s">
        <v>100</v>
      </c>
      <c r="G46" t="s">
        <v>102</v>
      </c>
      <c r="H46" t="s">
        <v>305</v>
      </c>
      <c r="I46" t="s">
        <v>104</v>
      </c>
      <c r="J46" t="b">
        <v>0</v>
      </c>
      <c r="K46" s="41">
        <v>45774.120775462958</v>
      </c>
      <c r="N46">
        <v>0</v>
      </c>
      <c r="O46" s="41">
        <v>45589.660150462973</v>
      </c>
      <c r="P46" s="41">
        <v>45910.146053240736</v>
      </c>
      <c r="Q46" s="42">
        <v>4</v>
      </c>
      <c r="R46" t="s">
        <v>105</v>
      </c>
      <c r="S46" s="42">
        <v>20480</v>
      </c>
      <c r="T46">
        <v>4096</v>
      </c>
      <c r="U46">
        <v>3</v>
      </c>
      <c r="V46">
        <v>2</v>
      </c>
      <c r="W46" s="42">
        <v>515072</v>
      </c>
      <c r="Y46" t="s">
        <v>229</v>
      </c>
      <c r="Z46" t="s">
        <v>106</v>
      </c>
      <c r="AC46" t="b">
        <v>1</v>
      </c>
      <c r="AE46" t="s">
        <v>232</v>
      </c>
      <c r="AF46" t="s">
        <v>448</v>
      </c>
      <c r="AG46" t="s">
        <v>233</v>
      </c>
      <c r="AM46">
        <v>1</v>
      </c>
      <c r="AN46">
        <v>8192</v>
      </c>
      <c r="AO46" t="s">
        <v>328</v>
      </c>
      <c r="AP46" t="s">
        <v>235</v>
      </c>
      <c r="AQ46" t="s">
        <v>236</v>
      </c>
      <c r="AS46" t="b">
        <v>1</v>
      </c>
      <c r="AT46" t="s">
        <v>113</v>
      </c>
      <c r="AV46" t="s">
        <v>104</v>
      </c>
      <c r="AW46">
        <v>-1</v>
      </c>
      <c r="AX46">
        <v>-1</v>
      </c>
      <c r="AZ46">
        <v>535648</v>
      </c>
      <c r="BA46">
        <v>535648</v>
      </c>
      <c r="BB46">
        <v>515072</v>
      </c>
      <c r="BC46" t="s">
        <v>114</v>
      </c>
      <c r="BD46" t="s">
        <v>115</v>
      </c>
      <c r="BE46" t="s">
        <v>116</v>
      </c>
      <c r="BH46" t="b">
        <v>0</v>
      </c>
      <c r="BI46">
        <v>0</v>
      </c>
      <c r="BJ46">
        <v>10000</v>
      </c>
      <c r="BK46" t="b">
        <v>0</v>
      </c>
      <c r="BL46" t="b">
        <v>0</v>
      </c>
      <c r="BN46" t="b">
        <v>0</v>
      </c>
      <c r="BO46" t="s">
        <v>117</v>
      </c>
      <c r="BP46">
        <v>19</v>
      </c>
      <c r="BQ46" t="s">
        <v>115</v>
      </c>
      <c r="BR46" t="s">
        <v>118</v>
      </c>
      <c r="BT46" t="s">
        <v>1572</v>
      </c>
      <c r="BU46" t="s">
        <v>1573</v>
      </c>
      <c r="BV46" t="s">
        <v>1573</v>
      </c>
      <c r="BW46" t="s">
        <v>1573</v>
      </c>
      <c r="BY46" t="s">
        <v>1574</v>
      </c>
      <c r="BZ46" t="s">
        <v>1575</v>
      </c>
      <c r="CH46" t="s">
        <v>121</v>
      </c>
      <c r="CI46" t="s">
        <v>239</v>
      </c>
      <c r="CJ46" t="s">
        <v>378</v>
      </c>
      <c r="CK46" t="s">
        <v>170</v>
      </c>
      <c r="CM46" t="s">
        <v>126</v>
      </c>
      <c r="CO46" t="s">
        <v>471</v>
      </c>
      <c r="CP46" t="s">
        <v>472</v>
      </c>
      <c r="CQ46" t="s">
        <v>473</v>
      </c>
      <c r="CR46" t="s">
        <v>1478</v>
      </c>
      <c r="CS46" t="s">
        <v>1331</v>
      </c>
      <c r="CT46" t="s">
        <v>130</v>
      </c>
      <c r="CU46" t="s">
        <v>131</v>
      </c>
    </row>
    <row r="47" spans="1:99" s="43" customFormat="1">
      <c r="A47" s="43" t="s">
        <v>1576</v>
      </c>
      <c r="B47" s="43" t="s">
        <v>99</v>
      </c>
      <c r="C47" s="43" t="b">
        <v>0</v>
      </c>
      <c r="D47" s="43" t="b">
        <v>0</v>
      </c>
      <c r="E47" s="43" t="s">
        <v>100</v>
      </c>
      <c r="F47" s="43" t="s">
        <v>1577</v>
      </c>
      <c r="G47" s="43" t="s">
        <v>102</v>
      </c>
      <c r="H47" s="43" t="s">
        <v>103</v>
      </c>
      <c r="I47" s="43" t="s">
        <v>100</v>
      </c>
      <c r="J47" s="43" t="b">
        <v>0</v>
      </c>
      <c r="K47" s="44">
        <v>45874.611875000002</v>
      </c>
      <c r="N47" s="43">
        <v>0</v>
      </c>
      <c r="O47" s="44">
        <v>45643.468807870369</v>
      </c>
      <c r="P47" s="44">
        <v>45908.433136574073</v>
      </c>
      <c r="Q47" s="45">
        <v>4</v>
      </c>
      <c r="R47" s="43" t="s">
        <v>105</v>
      </c>
      <c r="S47" s="45"/>
      <c r="W47" s="45"/>
      <c r="Y47" s="43" t="s">
        <v>229</v>
      </c>
      <c r="Z47" s="43" t="s">
        <v>106</v>
      </c>
      <c r="AB47" s="43" t="b">
        <v>1</v>
      </c>
      <c r="AC47" s="43" t="b">
        <v>1</v>
      </c>
      <c r="AD47" s="43" t="s">
        <v>1578</v>
      </c>
      <c r="AE47" s="43" t="s">
        <v>232</v>
      </c>
      <c r="AF47" s="43" t="s">
        <v>448</v>
      </c>
      <c r="AG47" s="43" t="s">
        <v>474</v>
      </c>
      <c r="AM47" s="43">
        <v>1</v>
      </c>
      <c r="AN47" s="43">
        <v>8192</v>
      </c>
      <c r="AO47" s="43" t="s">
        <v>328</v>
      </c>
      <c r="AP47" s="43" t="s">
        <v>144</v>
      </c>
      <c r="AQ47" s="43" t="s">
        <v>145</v>
      </c>
      <c r="AS47" s="43" t="b">
        <v>1</v>
      </c>
      <c r="AT47" s="43" t="s">
        <v>113</v>
      </c>
      <c r="AV47" s="43" t="s">
        <v>104</v>
      </c>
      <c r="AW47" s="43">
        <v>-1</v>
      </c>
      <c r="AX47" s="43">
        <v>-1</v>
      </c>
      <c r="AZ47" s="43">
        <v>336408</v>
      </c>
      <c r="BA47" s="43">
        <v>336408</v>
      </c>
      <c r="BB47" s="43">
        <v>327680</v>
      </c>
      <c r="BC47" s="43" t="s">
        <v>114</v>
      </c>
      <c r="BD47" s="43" t="s">
        <v>115</v>
      </c>
      <c r="BE47" s="43" t="s">
        <v>116</v>
      </c>
      <c r="BH47" s="43" t="b">
        <v>0</v>
      </c>
      <c r="BI47" s="43">
        <v>0</v>
      </c>
      <c r="BJ47" s="43">
        <v>10000</v>
      </c>
      <c r="BK47" s="43" t="b">
        <v>0</v>
      </c>
      <c r="BL47" s="43" t="b">
        <v>0</v>
      </c>
      <c r="BN47" s="43" t="b">
        <v>1</v>
      </c>
      <c r="BO47" s="43" t="s">
        <v>176</v>
      </c>
      <c r="BP47" s="43">
        <v>19</v>
      </c>
      <c r="BQ47" s="43" t="s">
        <v>115</v>
      </c>
      <c r="BR47" s="43" t="s">
        <v>118</v>
      </c>
      <c r="BT47" s="43" t="s">
        <v>1579</v>
      </c>
      <c r="BU47" s="43" t="s">
        <v>1580</v>
      </c>
      <c r="BV47" s="43" t="s">
        <v>1580</v>
      </c>
      <c r="BW47" s="43" t="s">
        <v>1580</v>
      </c>
      <c r="BX47" s="43" t="s">
        <v>1581</v>
      </c>
      <c r="BY47" s="43" t="s">
        <v>1582</v>
      </c>
      <c r="BZ47" s="43" t="s">
        <v>1583</v>
      </c>
      <c r="CH47" s="43" t="s">
        <v>121</v>
      </c>
      <c r="CI47" s="43" t="s">
        <v>239</v>
      </c>
      <c r="CJ47" s="43" t="s">
        <v>1298</v>
      </c>
      <c r="CK47" s="43" t="s">
        <v>189</v>
      </c>
      <c r="CL47" s="43" t="s">
        <v>189</v>
      </c>
      <c r="CM47" s="43" t="s">
        <v>126</v>
      </c>
      <c r="CO47" s="43" t="s">
        <v>1584</v>
      </c>
      <c r="CP47" s="43" t="s">
        <v>1585</v>
      </c>
      <c r="CQ47" s="43" t="s">
        <v>1586</v>
      </c>
      <c r="CR47" s="43" t="s">
        <v>1478</v>
      </c>
      <c r="CS47" s="43" t="s">
        <v>1331</v>
      </c>
      <c r="CT47" s="43" t="s">
        <v>130</v>
      </c>
      <c r="CU47" s="43" t="s">
        <v>131</v>
      </c>
    </row>
    <row r="48" spans="1:99">
      <c r="A48" t="s">
        <v>1396</v>
      </c>
      <c r="B48" t="s">
        <v>99</v>
      </c>
      <c r="C48" t="b">
        <v>0</v>
      </c>
      <c r="D48" t="b">
        <v>0</v>
      </c>
      <c r="E48" t="s">
        <v>100</v>
      </c>
      <c r="F48" t="s">
        <v>1397</v>
      </c>
      <c r="G48" t="s">
        <v>102</v>
      </c>
      <c r="H48" t="s">
        <v>103</v>
      </c>
      <c r="I48" t="s">
        <v>104</v>
      </c>
      <c r="J48" t="b">
        <v>0</v>
      </c>
      <c r="K48" s="41">
        <v>45901.679409722223</v>
      </c>
      <c r="N48">
        <v>0</v>
      </c>
      <c r="O48" s="41">
        <v>45896.551944444444</v>
      </c>
      <c r="P48" s="41">
        <v>45911.589479166672</v>
      </c>
      <c r="Q48" s="42">
        <v>4</v>
      </c>
      <c r="R48" t="s">
        <v>105</v>
      </c>
      <c r="S48" s="42">
        <v>8192</v>
      </c>
      <c r="T48">
        <v>163</v>
      </c>
      <c r="U48">
        <v>3</v>
      </c>
      <c r="V48">
        <v>2</v>
      </c>
      <c r="W48" s="42">
        <v>327680</v>
      </c>
      <c r="Y48" t="s">
        <v>229</v>
      </c>
      <c r="Z48" t="s">
        <v>106</v>
      </c>
      <c r="AD48" t="s">
        <v>1398</v>
      </c>
      <c r="AE48" t="s">
        <v>1399</v>
      </c>
      <c r="AF48" t="s">
        <v>448</v>
      </c>
      <c r="AG48" t="s">
        <v>474</v>
      </c>
      <c r="AM48">
        <v>1</v>
      </c>
      <c r="AN48">
        <v>8192</v>
      </c>
      <c r="AO48" t="s">
        <v>234</v>
      </c>
      <c r="AP48" t="s">
        <v>235</v>
      </c>
      <c r="AQ48" t="s">
        <v>236</v>
      </c>
      <c r="AS48" t="b">
        <v>1</v>
      </c>
      <c r="AT48" t="s">
        <v>113</v>
      </c>
      <c r="AV48" t="s">
        <v>104</v>
      </c>
      <c r="AW48">
        <v>-1</v>
      </c>
      <c r="AX48">
        <v>-1</v>
      </c>
      <c r="AZ48">
        <v>335979</v>
      </c>
      <c r="BA48">
        <v>335979</v>
      </c>
      <c r="BB48">
        <v>327680</v>
      </c>
      <c r="BC48" t="s">
        <v>114</v>
      </c>
      <c r="BD48" t="s">
        <v>115</v>
      </c>
      <c r="BE48" t="s">
        <v>116</v>
      </c>
      <c r="BH48" t="b">
        <v>0</v>
      </c>
      <c r="BI48">
        <v>0</v>
      </c>
      <c r="BJ48">
        <v>10000</v>
      </c>
      <c r="BK48" t="b">
        <v>0</v>
      </c>
      <c r="BL48" t="b">
        <v>0</v>
      </c>
      <c r="BN48" t="b">
        <v>0</v>
      </c>
      <c r="BO48" t="s">
        <v>117</v>
      </c>
      <c r="BP48">
        <v>19</v>
      </c>
      <c r="BQ48" t="s">
        <v>115</v>
      </c>
      <c r="BR48" t="s">
        <v>118</v>
      </c>
      <c r="BT48" t="s">
        <v>1400</v>
      </c>
      <c r="BU48" t="s">
        <v>1401</v>
      </c>
      <c r="BV48" t="s">
        <v>1401</v>
      </c>
      <c r="BW48" t="s">
        <v>1401</v>
      </c>
      <c r="CH48" t="s">
        <v>121</v>
      </c>
      <c r="CI48" t="s">
        <v>239</v>
      </c>
      <c r="CJ48" t="s">
        <v>378</v>
      </c>
      <c r="CK48" t="s">
        <v>320</v>
      </c>
      <c r="CL48" t="s">
        <v>320</v>
      </c>
      <c r="CM48" t="s">
        <v>126</v>
      </c>
      <c r="CO48" t="s">
        <v>1403</v>
      </c>
      <c r="CP48" t="s">
        <v>1404</v>
      </c>
      <c r="CQ48" t="s">
        <v>1405</v>
      </c>
      <c r="CR48" t="s">
        <v>1478</v>
      </c>
      <c r="CS48" t="s">
        <v>1331</v>
      </c>
      <c r="CT48" t="s">
        <v>130</v>
      </c>
      <c r="CU48" t="s">
        <v>131</v>
      </c>
    </row>
    <row r="49" spans="1:99" s="43" customFormat="1">
      <c r="A49" s="43" t="s">
        <v>1587</v>
      </c>
      <c r="B49" s="43" t="s">
        <v>99</v>
      </c>
      <c r="C49" s="43" t="b">
        <v>0</v>
      </c>
      <c r="D49" s="43" t="b">
        <v>0</v>
      </c>
      <c r="E49" s="43" t="s">
        <v>100</v>
      </c>
      <c r="F49" s="43" t="s">
        <v>1588</v>
      </c>
      <c r="G49" s="43" t="s">
        <v>102</v>
      </c>
      <c r="H49" s="43" t="s">
        <v>103</v>
      </c>
      <c r="I49" s="43" t="s">
        <v>100</v>
      </c>
      <c r="J49" s="43" t="b">
        <v>0</v>
      </c>
      <c r="K49" s="44">
        <v>45829.028229166674</v>
      </c>
      <c r="N49" s="43">
        <v>0</v>
      </c>
      <c r="O49" s="44">
        <v>45643.47146990741</v>
      </c>
      <c r="P49" s="44">
        <v>45912.094884259262</v>
      </c>
      <c r="Q49" s="45">
        <v>4</v>
      </c>
      <c r="S49" s="45"/>
      <c r="W49" s="45"/>
      <c r="Y49" s="43" t="s">
        <v>229</v>
      </c>
      <c r="Z49" s="43" t="s">
        <v>106</v>
      </c>
      <c r="AB49" s="43" t="b">
        <v>1</v>
      </c>
      <c r="AC49" s="43" t="b">
        <v>1</v>
      </c>
      <c r="AD49" s="43" t="s">
        <v>1589</v>
      </c>
      <c r="AE49" s="43" t="s">
        <v>232</v>
      </c>
      <c r="AF49" s="43" t="s">
        <v>448</v>
      </c>
      <c r="AG49" s="43" t="s">
        <v>474</v>
      </c>
      <c r="AM49" s="43">
        <v>1</v>
      </c>
      <c r="AN49" s="43">
        <v>8192</v>
      </c>
      <c r="AO49" s="43" t="s">
        <v>328</v>
      </c>
      <c r="AP49" s="43" t="s">
        <v>144</v>
      </c>
      <c r="AQ49" s="43" t="s">
        <v>145</v>
      </c>
      <c r="AS49" s="43" t="b">
        <v>1</v>
      </c>
      <c r="AT49" s="43" t="s">
        <v>113</v>
      </c>
      <c r="AV49" s="43" t="s">
        <v>104</v>
      </c>
      <c r="AW49" s="43">
        <v>-1</v>
      </c>
      <c r="AX49" s="43">
        <v>-1</v>
      </c>
      <c r="AZ49" s="43">
        <v>336244</v>
      </c>
      <c r="BA49" s="43">
        <v>336244</v>
      </c>
      <c r="BB49" s="43">
        <v>327680</v>
      </c>
      <c r="BC49" s="43" t="s">
        <v>114</v>
      </c>
      <c r="BD49" s="43" t="s">
        <v>115</v>
      </c>
      <c r="BE49" s="43" t="s">
        <v>116</v>
      </c>
      <c r="BH49" s="43" t="b">
        <v>0</v>
      </c>
      <c r="BI49" s="43">
        <v>0</v>
      </c>
      <c r="BJ49" s="43">
        <v>10000</v>
      </c>
      <c r="BK49" s="43" t="b">
        <v>0</v>
      </c>
      <c r="BL49" s="43" t="b">
        <v>0</v>
      </c>
      <c r="BN49" s="43" t="b">
        <v>1</v>
      </c>
      <c r="BO49" s="43" t="s">
        <v>176</v>
      </c>
      <c r="BP49" s="43">
        <v>19</v>
      </c>
      <c r="BQ49" s="43" t="s">
        <v>115</v>
      </c>
      <c r="BR49" s="43" t="s">
        <v>118</v>
      </c>
      <c r="BT49" s="43" t="s">
        <v>1590</v>
      </c>
      <c r="BU49" s="43" t="s">
        <v>1591</v>
      </c>
      <c r="BV49" s="43" t="s">
        <v>1591</v>
      </c>
      <c r="BW49" s="43" t="s">
        <v>1591</v>
      </c>
      <c r="BX49" s="43" t="s">
        <v>1581</v>
      </c>
      <c r="BY49" s="43" t="s">
        <v>1592</v>
      </c>
      <c r="BZ49" s="43" t="s">
        <v>1593</v>
      </c>
      <c r="CH49" s="43" t="s">
        <v>121</v>
      </c>
      <c r="CI49" s="43" t="s">
        <v>239</v>
      </c>
      <c r="CJ49" s="43" t="s">
        <v>1298</v>
      </c>
      <c r="CK49" s="43" t="s">
        <v>189</v>
      </c>
      <c r="CL49" s="43" t="s">
        <v>189</v>
      </c>
      <c r="CM49" s="43" t="s">
        <v>126</v>
      </c>
      <c r="CO49" s="43" t="s">
        <v>1594</v>
      </c>
      <c r="CP49" s="43" t="s">
        <v>1595</v>
      </c>
      <c r="CQ49" s="43" t="s">
        <v>1596</v>
      </c>
      <c r="CR49" s="43" t="s">
        <v>1478</v>
      </c>
      <c r="CS49" s="43" t="s">
        <v>1331</v>
      </c>
      <c r="CT49" s="43" t="s">
        <v>130</v>
      </c>
      <c r="CU49" s="43" t="s">
        <v>131</v>
      </c>
    </row>
    <row r="50" spans="1:99">
      <c r="A50" t="s">
        <v>1406</v>
      </c>
      <c r="B50" t="s">
        <v>99</v>
      </c>
      <c r="C50" t="b">
        <v>0</v>
      </c>
      <c r="D50" t="b">
        <v>0</v>
      </c>
      <c r="E50" t="s">
        <v>100</v>
      </c>
      <c r="F50" t="s">
        <v>1407</v>
      </c>
      <c r="G50" t="s">
        <v>102</v>
      </c>
      <c r="H50" t="s">
        <v>103</v>
      </c>
      <c r="I50" t="s">
        <v>100</v>
      </c>
      <c r="J50" t="b">
        <v>0</v>
      </c>
      <c r="K50" s="41">
        <v>45898.843831018523</v>
      </c>
      <c r="N50">
        <v>0</v>
      </c>
      <c r="O50" s="41">
        <v>45896.55023148148</v>
      </c>
      <c r="P50" s="41">
        <v>45899.25577546296</v>
      </c>
      <c r="Q50" s="42">
        <v>4</v>
      </c>
      <c r="R50" t="s">
        <v>105</v>
      </c>
      <c r="S50" s="42">
        <v>8192</v>
      </c>
      <c r="T50">
        <v>81</v>
      </c>
      <c r="U50">
        <v>3</v>
      </c>
      <c r="V50">
        <v>2</v>
      </c>
      <c r="W50" s="42">
        <v>327680</v>
      </c>
      <c r="Y50" t="s">
        <v>229</v>
      </c>
      <c r="Z50" t="s">
        <v>106</v>
      </c>
      <c r="AD50" t="s">
        <v>1408</v>
      </c>
      <c r="AE50" t="s">
        <v>1399</v>
      </c>
      <c r="AF50" t="s">
        <v>448</v>
      </c>
      <c r="AG50" t="s">
        <v>474</v>
      </c>
      <c r="AM50">
        <v>1</v>
      </c>
      <c r="AN50">
        <v>8192</v>
      </c>
      <c r="AO50" t="s">
        <v>234</v>
      </c>
      <c r="AP50" t="s">
        <v>235</v>
      </c>
      <c r="AQ50" t="s">
        <v>236</v>
      </c>
      <c r="AS50" t="b">
        <v>1</v>
      </c>
      <c r="AT50" t="s">
        <v>113</v>
      </c>
      <c r="AV50" t="s">
        <v>104</v>
      </c>
      <c r="AW50">
        <v>-1</v>
      </c>
      <c r="AX50">
        <v>-1</v>
      </c>
      <c r="AZ50">
        <v>335955</v>
      </c>
      <c r="BA50">
        <v>335955</v>
      </c>
      <c r="BB50">
        <v>327680</v>
      </c>
      <c r="BC50" t="s">
        <v>114</v>
      </c>
      <c r="BD50" t="s">
        <v>115</v>
      </c>
      <c r="BE50" t="s">
        <v>116</v>
      </c>
      <c r="BH50" t="b">
        <v>0</v>
      </c>
      <c r="BI50">
        <v>0</v>
      </c>
      <c r="BJ50">
        <v>10000</v>
      </c>
      <c r="BK50" t="b">
        <v>0</v>
      </c>
      <c r="BL50" t="b">
        <v>0</v>
      </c>
      <c r="BN50" t="b">
        <v>0</v>
      </c>
      <c r="BO50" t="s">
        <v>117</v>
      </c>
      <c r="BP50">
        <v>19</v>
      </c>
      <c r="BQ50" t="s">
        <v>115</v>
      </c>
      <c r="BR50" t="s">
        <v>118</v>
      </c>
      <c r="BT50" t="s">
        <v>1409</v>
      </c>
      <c r="BU50" t="s">
        <v>1410</v>
      </c>
      <c r="BV50" t="s">
        <v>1410</v>
      </c>
      <c r="BW50" t="s">
        <v>1410</v>
      </c>
      <c r="CH50" t="s">
        <v>121</v>
      </c>
      <c r="CI50" t="s">
        <v>239</v>
      </c>
      <c r="CJ50" t="s">
        <v>1402</v>
      </c>
      <c r="CK50" t="s">
        <v>320</v>
      </c>
      <c r="CL50" t="s">
        <v>320</v>
      </c>
      <c r="CM50" t="s">
        <v>126</v>
      </c>
      <c r="CO50" t="s">
        <v>1411</v>
      </c>
      <c r="CP50" t="s">
        <v>1412</v>
      </c>
      <c r="CQ50" t="s">
        <v>1413</v>
      </c>
      <c r="CR50" t="s">
        <v>1478</v>
      </c>
      <c r="CS50" t="s">
        <v>1331</v>
      </c>
      <c r="CT50" t="s">
        <v>130</v>
      </c>
      <c r="CU50" t="s">
        <v>131</v>
      </c>
    </row>
    <row r="51" spans="1:99">
      <c r="A51" t="s">
        <v>1308</v>
      </c>
      <c r="B51" t="s">
        <v>99</v>
      </c>
      <c r="C51" t="b">
        <v>0</v>
      </c>
      <c r="D51" t="b">
        <v>0</v>
      </c>
      <c r="E51" t="s">
        <v>100</v>
      </c>
      <c r="F51" t="s">
        <v>1309</v>
      </c>
      <c r="G51" t="s">
        <v>102</v>
      </c>
      <c r="H51" t="s">
        <v>103</v>
      </c>
      <c r="I51" t="s">
        <v>100</v>
      </c>
      <c r="J51" t="b">
        <v>0</v>
      </c>
      <c r="K51" s="41">
        <v>45924.023472222223</v>
      </c>
      <c r="N51">
        <v>0</v>
      </c>
      <c r="O51" s="41">
        <v>45749.477986111109</v>
      </c>
      <c r="P51" s="41">
        <v>45925.718657407408</v>
      </c>
      <c r="Q51" s="42">
        <v>6</v>
      </c>
      <c r="R51" t="s">
        <v>105</v>
      </c>
      <c r="S51" s="42">
        <v>32768</v>
      </c>
      <c r="T51">
        <v>1310</v>
      </c>
      <c r="U51">
        <v>3</v>
      </c>
      <c r="V51">
        <v>3</v>
      </c>
      <c r="W51" s="42">
        <v>286720</v>
      </c>
      <c r="Y51" t="s">
        <v>229</v>
      </c>
      <c r="Z51" t="s">
        <v>106</v>
      </c>
      <c r="AB51" t="b">
        <v>1</v>
      </c>
      <c r="AC51" t="b">
        <v>1</v>
      </c>
      <c r="AD51" t="s">
        <v>1310</v>
      </c>
      <c r="AE51" t="s">
        <v>232</v>
      </c>
      <c r="AF51" t="s">
        <v>317</v>
      </c>
      <c r="AG51" t="s">
        <v>474</v>
      </c>
      <c r="AM51">
        <v>1</v>
      </c>
      <c r="AN51">
        <v>8192</v>
      </c>
      <c r="AO51" t="s">
        <v>1517</v>
      </c>
      <c r="AP51" t="s">
        <v>144</v>
      </c>
      <c r="AQ51" t="s">
        <v>145</v>
      </c>
      <c r="AS51" t="b">
        <v>1</v>
      </c>
      <c r="AT51" t="s">
        <v>113</v>
      </c>
      <c r="AV51" t="s">
        <v>104</v>
      </c>
      <c r="AW51">
        <v>-1</v>
      </c>
      <c r="AX51">
        <v>-1</v>
      </c>
      <c r="AZ51">
        <v>319826</v>
      </c>
      <c r="BA51">
        <v>319826</v>
      </c>
      <c r="BB51">
        <v>286720</v>
      </c>
      <c r="BC51" t="s">
        <v>114</v>
      </c>
      <c r="BD51" t="s">
        <v>115</v>
      </c>
      <c r="BE51" t="s">
        <v>116</v>
      </c>
      <c r="BH51" t="b">
        <v>0</v>
      </c>
      <c r="BI51">
        <v>0</v>
      </c>
      <c r="BJ51">
        <v>10000</v>
      </c>
      <c r="BK51" t="b">
        <v>0</v>
      </c>
      <c r="BL51" t="b">
        <v>0</v>
      </c>
      <c r="BN51" t="b">
        <v>1</v>
      </c>
      <c r="BO51" t="s">
        <v>176</v>
      </c>
      <c r="BP51">
        <v>19</v>
      </c>
      <c r="BQ51" t="s">
        <v>115</v>
      </c>
      <c r="BR51" t="s">
        <v>118</v>
      </c>
      <c r="BT51" t="s">
        <v>1311</v>
      </c>
      <c r="BU51" t="s">
        <v>1312</v>
      </c>
      <c r="BV51" t="s">
        <v>1312</v>
      </c>
      <c r="BW51" t="s">
        <v>1312</v>
      </c>
      <c r="BX51" t="s">
        <v>1313</v>
      </c>
      <c r="BY51" t="s">
        <v>1597</v>
      </c>
      <c r="BZ51" t="s">
        <v>1598</v>
      </c>
      <c r="CH51" t="s">
        <v>121</v>
      </c>
      <c r="CI51" t="s">
        <v>239</v>
      </c>
      <c r="CJ51" t="s">
        <v>259</v>
      </c>
      <c r="CK51" t="s">
        <v>465</v>
      </c>
      <c r="CL51" t="s">
        <v>189</v>
      </c>
      <c r="CM51" t="s">
        <v>126</v>
      </c>
      <c r="CO51" t="s">
        <v>1314</v>
      </c>
      <c r="CP51" t="s">
        <v>1315</v>
      </c>
      <c r="CQ51" t="s">
        <v>1316</v>
      </c>
      <c r="CR51" t="s">
        <v>1478</v>
      </c>
      <c r="CS51" t="s">
        <v>1331</v>
      </c>
      <c r="CT51" t="s">
        <v>130</v>
      </c>
      <c r="CU51" t="s">
        <v>131</v>
      </c>
    </row>
    <row r="52" spans="1:99">
      <c r="A52" t="s">
        <v>1317</v>
      </c>
      <c r="B52" t="s">
        <v>99</v>
      </c>
      <c r="C52" t="b">
        <v>0</v>
      </c>
      <c r="D52" t="b">
        <v>0</v>
      </c>
      <c r="E52" t="s">
        <v>100</v>
      </c>
      <c r="F52" t="s">
        <v>469</v>
      </c>
      <c r="G52" t="s">
        <v>102</v>
      </c>
      <c r="H52" t="s">
        <v>103</v>
      </c>
      <c r="I52" t="s">
        <v>100</v>
      </c>
      <c r="J52" t="b">
        <v>0</v>
      </c>
      <c r="K52" s="41">
        <v>45924.023715277777</v>
      </c>
      <c r="N52">
        <v>0</v>
      </c>
      <c r="O52" s="41">
        <v>45749.487453703703</v>
      </c>
      <c r="P52" s="41">
        <v>45862.949548611112</v>
      </c>
      <c r="Q52" s="42">
        <v>4</v>
      </c>
      <c r="R52" t="s">
        <v>105</v>
      </c>
      <c r="S52" s="42">
        <v>8192</v>
      </c>
      <c r="T52">
        <v>573</v>
      </c>
      <c r="U52">
        <v>3</v>
      </c>
      <c r="V52">
        <v>3</v>
      </c>
      <c r="W52" s="42">
        <v>276480</v>
      </c>
      <c r="Y52" t="s">
        <v>229</v>
      </c>
      <c r="Z52" t="s">
        <v>106</v>
      </c>
      <c r="AB52" t="b">
        <v>1</v>
      </c>
      <c r="AC52" t="b">
        <v>1</v>
      </c>
      <c r="AD52" t="s">
        <v>1318</v>
      </c>
      <c r="AE52" t="s">
        <v>232</v>
      </c>
      <c r="AF52" t="s">
        <v>448</v>
      </c>
      <c r="AG52" t="s">
        <v>474</v>
      </c>
      <c r="AM52">
        <v>1</v>
      </c>
      <c r="AN52">
        <v>8192</v>
      </c>
      <c r="AO52" t="s">
        <v>1517</v>
      </c>
      <c r="AP52" t="s">
        <v>144</v>
      </c>
      <c r="AQ52" t="s">
        <v>145</v>
      </c>
      <c r="AS52" t="b">
        <v>1</v>
      </c>
      <c r="AT52" t="s">
        <v>113</v>
      </c>
      <c r="AV52" t="s">
        <v>104</v>
      </c>
      <c r="AW52">
        <v>-1</v>
      </c>
      <c r="AX52">
        <v>-1</v>
      </c>
      <c r="AZ52">
        <v>285020</v>
      </c>
      <c r="BA52">
        <v>285020</v>
      </c>
      <c r="BB52">
        <v>276480</v>
      </c>
      <c r="BC52" t="s">
        <v>114</v>
      </c>
      <c r="BD52" t="s">
        <v>115</v>
      </c>
      <c r="BE52" t="s">
        <v>116</v>
      </c>
      <c r="BH52" t="b">
        <v>0</v>
      </c>
      <c r="BI52">
        <v>0</v>
      </c>
      <c r="BJ52">
        <v>10000</v>
      </c>
      <c r="BK52" t="b">
        <v>0</v>
      </c>
      <c r="BL52" t="b">
        <v>0</v>
      </c>
      <c r="BN52" t="b">
        <v>1</v>
      </c>
      <c r="BO52" t="s">
        <v>176</v>
      </c>
      <c r="BP52">
        <v>19</v>
      </c>
      <c r="BQ52" t="s">
        <v>115</v>
      </c>
      <c r="BR52" t="s">
        <v>118</v>
      </c>
      <c r="BT52" t="s">
        <v>1379</v>
      </c>
      <c r="BU52" t="s">
        <v>1380</v>
      </c>
      <c r="BV52" t="s">
        <v>1380</v>
      </c>
      <c r="BW52" t="s">
        <v>1380</v>
      </c>
      <c r="BX52" t="s">
        <v>1313</v>
      </c>
      <c r="BY52" t="s">
        <v>1599</v>
      </c>
      <c r="BZ52" t="s">
        <v>1600</v>
      </c>
      <c r="CH52" t="s">
        <v>121</v>
      </c>
      <c r="CI52" t="s">
        <v>239</v>
      </c>
      <c r="CJ52" t="s">
        <v>240</v>
      </c>
      <c r="CK52" t="s">
        <v>465</v>
      </c>
      <c r="CL52" t="s">
        <v>189</v>
      </c>
      <c r="CM52" t="s">
        <v>126</v>
      </c>
      <c r="CO52" t="s">
        <v>1319</v>
      </c>
      <c r="CP52" t="s">
        <v>1320</v>
      </c>
      <c r="CQ52" t="s">
        <v>1321</v>
      </c>
      <c r="CR52" t="s">
        <v>1478</v>
      </c>
      <c r="CS52" t="s">
        <v>1331</v>
      </c>
      <c r="CT52" t="s">
        <v>130</v>
      </c>
      <c r="CU52" t="s">
        <v>131</v>
      </c>
    </row>
    <row r="53" spans="1:99">
      <c r="A53" t="s">
        <v>1322</v>
      </c>
      <c r="B53" t="s">
        <v>99</v>
      </c>
      <c r="C53" t="b">
        <v>0</v>
      </c>
      <c r="D53" t="b">
        <v>0</v>
      </c>
      <c r="E53" t="s">
        <v>100</v>
      </c>
      <c r="F53" t="s">
        <v>1323</v>
      </c>
      <c r="G53" t="s">
        <v>102</v>
      </c>
      <c r="H53" t="s">
        <v>103</v>
      </c>
      <c r="I53" t="s">
        <v>100</v>
      </c>
      <c r="J53" t="b">
        <v>0</v>
      </c>
      <c r="K53" s="41">
        <v>45924.033726851849</v>
      </c>
      <c r="N53">
        <v>0</v>
      </c>
      <c r="O53" s="41">
        <v>45749.498368055552</v>
      </c>
      <c r="P53" s="41">
        <v>45796.735543981478</v>
      </c>
      <c r="Q53" s="42">
        <v>4</v>
      </c>
      <c r="R53" t="s">
        <v>105</v>
      </c>
      <c r="S53" s="42">
        <v>16384</v>
      </c>
      <c r="T53">
        <v>491</v>
      </c>
      <c r="U53">
        <v>3</v>
      </c>
      <c r="V53">
        <v>3</v>
      </c>
      <c r="W53" s="42">
        <v>245760</v>
      </c>
      <c r="Y53" t="s">
        <v>229</v>
      </c>
      <c r="Z53" t="s">
        <v>106</v>
      </c>
      <c r="AB53" t="b">
        <v>1</v>
      </c>
      <c r="AC53" t="b">
        <v>1</v>
      </c>
      <c r="AD53" t="s">
        <v>1324</v>
      </c>
      <c r="AE53" t="s">
        <v>232</v>
      </c>
      <c r="AF53" t="s">
        <v>448</v>
      </c>
      <c r="AG53" t="s">
        <v>474</v>
      </c>
      <c r="AM53">
        <v>1</v>
      </c>
      <c r="AN53">
        <v>8192</v>
      </c>
      <c r="AO53" t="s">
        <v>1517</v>
      </c>
      <c r="AP53" t="s">
        <v>144</v>
      </c>
      <c r="AQ53" t="s">
        <v>145</v>
      </c>
      <c r="AS53" t="b">
        <v>1</v>
      </c>
      <c r="AT53" t="s">
        <v>113</v>
      </c>
      <c r="AV53" t="s">
        <v>104</v>
      </c>
      <c r="AW53">
        <v>-1</v>
      </c>
      <c r="AX53">
        <v>-1</v>
      </c>
      <c r="AZ53">
        <v>262514</v>
      </c>
      <c r="BA53">
        <v>262514</v>
      </c>
      <c r="BB53">
        <v>245760</v>
      </c>
      <c r="BC53" t="s">
        <v>114</v>
      </c>
      <c r="BD53" t="s">
        <v>115</v>
      </c>
      <c r="BE53" t="s">
        <v>116</v>
      </c>
      <c r="BH53" t="b">
        <v>0</v>
      </c>
      <c r="BI53">
        <v>0</v>
      </c>
      <c r="BJ53">
        <v>10000</v>
      </c>
      <c r="BK53" t="b">
        <v>0</v>
      </c>
      <c r="BL53" t="b">
        <v>0</v>
      </c>
      <c r="BN53" t="b">
        <v>1</v>
      </c>
      <c r="BO53" t="s">
        <v>176</v>
      </c>
      <c r="BP53">
        <v>19</v>
      </c>
      <c r="BQ53" t="s">
        <v>115</v>
      </c>
      <c r="BR53" t="s">
        <v>118</v>
      </c>
      <c r="BT53" t="s">
        <v>1325</v>
      </c>
      <c r="BU53" t="s">
        <v>1326</v>
      </c>
      <c r="BV53" t="s">
        <v>1326</v>
      </c>
      <c r="BW53" t="s">
        <v>1326</v>
      </c>
      <c r="BX53" t="s">
        <v>1313</v>
      </c>
      <c r="BY53" t="s">
        <v>1601</v>
      </c>
      <c r="BZ53" t="s">
        <v>1602</v>
      </c>
      <c r="CH53" t="s">
        <v>121</v>
      </c>
      <c r="CI53" t="s">
        <v>239</v>
      </c>
      <c r="CJ53" t="s">
        <v>1298</v>
      </c>
      <c r="CK53" t="s">
        <v>465</v>
      </c>
      <c r="CL53" t="s">
        <v>189</v>
      </c>
      <c r="CM53" t="s">
        <v>126</v>
      </c>
      <c r="CO53" t="s">
        <v>1327</v>
      </c>
      <c r="CP53" t="s">
        <v>1328</v>
      </c>
      <c r="CQ53" t="s">
        <v>1329</v>
      </c>
      <c r="CR53" t="s">
        <v>1478</v>
      </c>
      <c r="CS53" t="s">
        <v>1331</v>
      </c>
      <c r="CT53" t="s">
        <v>130</v>
      </c>
      <c r="CU53" t="s">
        <v>131</v>
      </c>
    </row>
    <row r="54" spans="1:99">
      <c r="A54" t="s">
        <v>1414</v>
      </c>
      <c r="B54" t="s">
        <v>99</v>
      </c>
      <c r="C54" t="b">
        <v>0</v>
      </c>
      <c r="D54" t="b">
        <v>0</v>
      </c>
      <c r="E54" t="s">
        <v>100</v>
      </c>
      <c r="F54" t="s">
        <v>1415</v>
      </c>
      <c r="G54" t="s">
        <v>102</v>
      </c>
      <c r="H54" t="s">
        <v>103</v>
      </c>
      <c r="I54" t="s">
        <v>100</v>
      </c>
      <c r="J54" t="b">
        <v>0</v>
      </c>
      <c r="K54" s="41">
        <v>45890.513344907413</v>
      </c>
      <c r="N54">
        <v>0</v>
      </c>
      <c r="O54" s="41">
        <v>45884.424375000002</v>
      </c>
      <c r="P54" s="41">
        <v>45894.81590277778</v>
      </c>
      <c r="Q54" s="42">
        <v>2</v>
      </c>
      <c r="R54" t="s">
        <v>105</v>
      </c>
      <c r="S54" s="42">
        <v>16384</v>
      </c>
      <c r="T54">
        <v>655</v>
      </c>
      <c r="U54">
        <v>3</v>
      </c>
      <c r="V54">
        <v>3</v>
      </c>
      <c r="W54" s="42">
        <v>409600</v>
      </c>
      <c r="Y54" t="s">
        <v>229</v>
      </c>
      <c r="Z54" t="s">
        <v>106</v>
      </c>
      <c r="AB54" t="b">
        <v>1</v>
      </c>
      <c r="AC54" t="b">
        <v>1</v>
      </c>
      <c r="AD54" t="s">
        <v>1416</v>
      </c>
      <c r="AE54" t="s">
        <v>448</v>
      </c>
      <c r="AF54" t="s">
        <v>1399</v>
      </c>
      <c r="AG54" t="s">
        <v>474</v>
      </c>
      <c r="AM54">
        <v>1</v>
      </c>
      <c r="AN54">
        <v>8192</v>
      </c>
      <c r="AO54" t="s">
        <v>1517</v>
      </c>
      <c r="AP54" t="s">
        <v>1417</v>
      </c>
      <c r="AQ54" t="s">
        <v>1418</v>
      </c>
      <c r="AS54" t="b">
        <v>1</v>
      </c>
      <c r="AT54" t="s">
        <v>113</v>
      </c>
      <c r="AV54" t="s">
        <v>104</v>
      </c>
      <c r="AW54">
        <v>-1</v>
      </c>
      <c r="AX54">
        <v>-1</v>
      </c>
      <c r="AZ54">
        <v>426131</v>
      </c>
      <c r="BA54">
        <v>426131</v>
      </c>
      <c r="BB54">
        <v>409600</v>
      </c>
      <c r="BC54" t="s">
        <v>114</v>
      </c>
      <c r="BD54" t="s">
        <v>115</v>
      </c>
      <c r="BE54" t="s">
        <v>116</v>
      </c>
      <c r="BH54" t="b">
        <v>0</v>
      </c>
      <c r="BI54">
        <v>0</v>
      </c>
      <c r="BJ54">
        <v>10000</v>
      </c>
      <c r="BK54" t="b">
        <v>0</v>
      </c>
      <c r="BL54" t="b">
        <v>0</v>
      </c>
      <c r="BN54" t="b">
        <v>1</v>
      </c>
      <c r="BO54" t="s">
        <v>176</v>
      </c>
      <c r="BP54">
        <v>19</v>
      </c>
      <c r="BQ54" t="s">
        <v>115</v>
      </c>
      <c r="BR54" t="s">
        <v>118</v>
      </c>
      <c r="BT54" t="s">
        <v>1419</v>
      </c>
      <c r="BU54" t="s">
        <v>1420</v>
      </c>
      <c r="BV54" t="s">
        <v>1420</v>
      </c>
      <c r="BW54" t="s">
        <v>1420</v>
      </c>
      <c r="BX54" t="s">
        <v>1421</v>
      </c>
      <c r="BY54" t="s">
        <v>1603</v>
      </c>
      <c r="BZ54" t="s">
        <v>1604</v>
      </c>
      <c r="CH54" t="s">
        <v>121</v>
      </c>
      <c r="CI54" t="s">
        <v>239</v>
      </c>
      <c r="CJ54" t="s">
        <v>378</v>
      </c>
      <c r="CK54" t="s">
        <v>189</v>
      </c>
      <c r="CL54" t="s">
        <v>189</v>
      </c>
      <c r="CM54" t="s">
        <v>126</v>
      </c>
      <c r="CO54" t="s">
        <v>1422</v>
      </c>
      <c r="CP54" t="s">
        <v>1423</v>
      </c>
      <c r="CQ54" t="s">
        <v>1424</v>
      </c>
      <c r="CR54" t="s">
        <v>1478</v>
      </c>
      <c r="CS54" t="s">
        <v>1331</v>
      </c>
      <c r="CT54" t="s">
        <v>130</v>
      </c>
      <c r="CU54" t="s">
        <v>131</v>
      </c>
    </row>
    <row r="55" spans="1:99">
      <c r="A55" t="s">
        <v>1425</v>
      </c>
      <c r="B55" t="s">
        <v>99</v>
      </c>
      <c r="C55" t="b">
        <v>0</v>
      </c>
      <c r="D55" t="b">
        <v>0</v>
      </c>
      <c r="E55" t="s">
        <v>100</v>
      </c>
      <c r="F55" t="s">
        <v>1426</v>
      </c>
      <c r="G55" t="s">
        <v>102</v>
      </c>
      <c r="H55" t="s">
        <v>103</v>
      </c>
      <c r="I55" t="s">
        <v>100</v>
      </c>
      <c r="J55" t="b">
        <v>0</v>
      </c>
      <c r="K55" s="41">
        <v>45890.513333333343</v>
      </c>
      <c r="N55">
        <v>0</v>
      </c>
      <c r="O55" s="41">
        <v>45884.455949074072</v>
      </c>
      <c r="P55" s="41">
        <v>45894.819027777783</v>
      </c>
      <c r="Q55" s="42">
        <v>2</v>
      </c>
      <c r="R55" t="s">
        <v>105</v>
      </c>
      <c r="S55" s="42">
        <v>16384</v>
      </c>
      <c r="T55">
        <v>491</v>
      </c>
      <c r="U55">
        <v>3</v>
      </c>
      <c r="V55">
        <v>3</v>
      </c>
      <c r="W55" s="42">
        <v>409600</v>
      </c>
      <c r="Y55" t="s">
        <v>229</v>
      </c>
      <c r="Z55" t="s">
        <v>106</v>
      </c>
      <c r="AB55" t="b">
        <v>1</v>
      </c>
      <c r="AC55" t="b">
        <v>1</v>
      </c>
      <c r="AD55" t="s">
        <v>1427</v>
      </c>
      <c r="AE55" t="s">
        <v>448</v>
      </c>
      <c r="AF55" t="s">
        <v>1399</v>
      </c>
      <c r="AG55" t="s">
        <v>474</v>
      </c>
      <c r="AM55">
        <v>1</v>
      </c>
      <c r="AN55">
        <v>8192</v>
      </c>
      <c r="AO55" t="s">
        <v>1517</v>
      </c>
      <c r="AP55" t="s">
        <v>1417</v>
      </c>
      <c r="AQ55" t="s">
        <v>1418</v>
      </c>
      <c r="AS55" t="b">
        <v>1</v>
      </c>
      <c r="AT55" t="s">
        <v>113</v>
      </c>
      <c r="AV55" t="s">
        <v>104</v>
      </c>
      <c r="AW55">
        <v>-1</v>
      </c>
      <c r="AX55">
        <v>-1</v>
      </c>
      <c r="AZ55">
        <v>426130</v>
      </c>
      <c r="BA55">
        <v>426130</v>
      </c>
      <c r="BB55">
        <v>409600</v>
      </c>
      <c r="BC55" t="s">
        <v>114</v>
      </c>
      <c r="BD55" t="s">
        <v>115</v>
      </c>
      <c r="BE55" t="s">
        <v>116</v>
      </c>
      <c r="BH55" t="b">
        <v>0</v>
      </c>
      <c r="BI55">
        <v>0</v>
      </c>
      <c r="BJ55">
        <v>10000</v>
      </c>
      <c r="BK55" t="b">
        <v>0</v>
      </c>
      <c r="BL55" t="b">
        <v>0</v>
      </c>
      <c r="BN55" t="b">
        <v>1</v>
      </c>
      <c r="BO55" t="s">
        <v>176</v>
      </c>
      <c r="BP55">
        <v>19</v>
      </c>
      <c r="BQ55" t="s">
        <v>115</v>
      </c>
      <c r="BR55" t="s">
        <v>118</v>
      </c>
      <c r="BT55" t="s">
        <v>1428</v>
      </c>
      <c r="BU55" t="s">
        <v>1429</v>
      </c>
      <c r="BV55" t="s">
        <v>1429</v>
      </c>
      <c r="BW55" t="s">
        <v>1429</v>
      </c>
      <c r="BX55" t="s">
        <v>1421</v>
      </c>
      <c r="BY55" t="s">
        <v>1605</v>
      </c>
      <c r="BZ55" t="s">
        <v>1606</v>
      </c>
      <c r="CH55" t="s">
        <v>121</v>
      </c>
      <c r="CI55" t="s">
        <v>239</v>
      </c>
      <c r="CJ55" t="s">
        <v>259</v>
      </c>
      <c r="CK55" t="s">
        <v>189</v>
      </c>
      <c r="CL55" t="s">
        <v>189</v>
      </c>
      <c r="CM55" t="s">
        <v>126</v>
      </c>
      <c r="CO55" t="s">
        <v>1430</v>
      </c>
      <c r="CP55" t="s">
        <v>1431</v>
      </c>
      <c r="CQ55" t="s">
        <v>1432</v>
      </c>
      <c r="CR55" t="s">
        <v>1478</v>
      </c>
      <c r="CS55" t="s">
        <v>1331</v>
      </c>
      <c r="CT55" t="s">
        <v>130</v>
      </c>
      <c r="CU55" t="s">
        <v>131</v>
      </c>
    </row>
    <row r="56" spans="1:99">
      <c r="A56" t="s">
        <v>1433</v>
      </c>
      <c r="B56" t="s">
        <v>99</v>
      </c>
      <c r="C56" t="b">
        <v>0</v>
      </c>
      <c r="D56" t="b">
        <v>0</v>
      </c>
      <c r="E56" t="s">
        <v>100</v>
      </c>
      <c r="F56" t="s">
        <v>1434</v>
      </c>
      <c r="G56" t="s">
        <v>102</v>
      </c>
      <c r="H56" t="s">
        <v>103</v>
      </c>
      <c r="I56" t="s">
        <v>100</v>
      </c>
      <c r="J56" t="b">
        <v>0</v>
      </c>
      <c r="K56" s="41">
        <v>45890.513310185182</v>
      </c>
      <c r="N56">
        <v>0</v>
      </c>
      <c r="O56" s="41">
        <v>45884.468506944453</v>
      </c>
      <c r="P56" s="41">
        <v>45894.824965277781</v>
      </c>
      <c r="Q56" s="42">
        <v>2</v>
      </c>
      <c r="R56" t="s">
        <v>105</v>
      </c>
      <c r="S56" s="42">
        <v>16384</v>
      </c>
      <c r="T56">
        <v>491</v>
      </c>
      <c r="U56">
        <v>3</v>
      </c>
      <c r="V56">
        <v>3</v>
      </c>
      <c r="W56" s="42">
        <v>409600</v>
      </c>
      <c r="Y56" t="s">
        <v>229</v>
      </c>
      <c r="Z56" t="s">
        <v>106</v>
      </c>
      <c r="AB56" t="b">
        <v>1</v>
      </c>
      <c r="AC56" t="b">
        <v>1</v>
      </c>
      <c r="AD56" t="s">
        <v>1435</v>
      </c>
      <c r="AE56" t="s">
        <v>448</v>
      </c>
      <c r="AF56" t="s">
        <v>1399</v>
      </c>
      <c r="AG56" t="s">
        <v>474</v>
      </c>
      <c r="AM56">
        <v>1</v>
      </c>
      <c r="AN56">
        <v>8192</v>
      </c>
      <c r="AO56" t="s">
        <v>1517</v>
      </c>
      <c r="AP56" t="s">
        <v>1417</v>
      </c>
      <c r="AQ56" t="s">
        <v>1418</v>
      </c>
      <c r="AS56" t="b">
        <v>1</v>
      </c>
      <c r="AT56" t="s">
        <v>113</v>
      </c>
      <c r="AV56" t="s">
        <v>104</v>
      </c>
      <c r="AW56">
        <v>-1</v>
      </c>
      <c r="AX56">
        <v>-1</v>
      </c>
      <c r="AZ56">
        <v>426130</v>
      </c>
      <c r="BA56">
        <v>426130</v>
      </c>
      <c r="BB56">
        <v>409600</v>
      </c>
      <c r="BC56" t="s">
        <v>114</v>
      </c>
      <c r="BD56" t="s">
        <v>115</v>
      </c>
      <c r="BE56" t="s">
        <v>116</v>
      </c>
      <c r="BH56" t="b">
        <v>0</v>
      </c>
      <c r="BI56">
        <v>0</v>
      </c>
      <c r="BJ56">
        <v>10000</v>
      </c>
      <c r="BK56" t="b">
        <v>0</v>
      </c>
      <c r="BL56" t="b">
        <v>0</v>
      </c>
      <c r="BN56" t="b">
        <v>1</v>
      </c>
      <c r="BO56" t="s">
        <v>176</v>
      </c>
      <c r="BP56">
        <v>19</v>
      </c>
      <c r="BQ56" t="s">
        <v>115</v>
      </c>
      <c r="BR56" t="s">
        <v>118</v>
      </c>
      <c r="BT56" t="s">
        <v>1436</v>
      </c>
      <c r="BU56" t="s">
        <v>1437</v>
      </c>
      <c r="BV56" t="s">
        <v>1437</v>
      </c>
      <c r="BW56" t="s">
        <v>1437</v>
      </c>
      <c r="BX56" t="s">
        <v>1421</v>
      </c>
      <c r="BY56" t="s">
        <v>1607</v>
      </c>
      <c r="BZ56" t="s">
        <v>1608</v>
      </c>
      <c r="CH56" t="s">
        <v>121</v>
      </c>
      <c r="CI56" t="s">
        <v>239</v>
      </c>
      <c r="CJ56" t="s">
        <v>309</v>
      </c>
      <c r="CK56" t="s">
        <v>189</v>
      </c>
      <c r="CL56" t="s">
        <v>189</v>
      </c>
      <c r="CM56" t="s">
        <v>126</v>
      </c>
      <c r="CO56" t="s">
        <v>1438</v>
      </c>
      <c r="CP56" t="s">
        <v>1439</v>
      </c>
      <c r="CQ56" t="s">
        <v>1440</v>
      </c>
      <c r="CR56" t="s">
        <v>1478</v>
      </c>
      <c r="CS56" t="s">
        <v>1331</v>
      </c>
      <c r="CT56" t="s">
        <v>130</v>
      </c>
      <c r="CU56" t="s">
        <v>131</v>
      </c>
    </row>
    <row r="57" spans="1:99">
      <c r="A57" t="s">
        <v>1609</v>
      </c>
      <c r="B57" t="s">
        <v>99</v>
      </c>
      <c r="C57" t="b">
        <v>0</v>
      </c>
      <c r="D57" t="b">
        <v>0</v>
      </c>
      <c r="E57" t="s">
        <v>100</v>
      </c>
      <c r="F57" t="s">
        <v>1610</v>
      </c>
      <c r="G57" t="s">
        <v>102</v>
      </c>
      <c r="H57" t="s">
        <v>103</v>
      </c>
      <c r="I57" t="s">
        <v>100</v>
      </c>
      <c r="J57" t="b">
        <v>0</v>
      </c>
      <c r="K57" s="41">
        <v>45929.479722222219</v>
      </c>
      <c r="N57">
        <v>0</v>
      </c>
      <c r="O57" s="41">
        <v>45898.695902777778</v>
      </c>
      <c r="P57" s="41">
        <v>45930.961608796293</v>
      </c>
      <c r="Q57" s="42">
        <v>2</v>
      </c>
      <c r="R57" t="s">
        <v>105</v>
      </c>
      <c r="S57" s="42">
        <v>4096</v>
      </c>
      <c r="T57">
        <v>163</v>
      </c>
      <c r="U57">
        <v>3</v>
      </c>
      <c r="V57">
        <v>1</v>
      </c>
      <c r="W57" s="42">
        <v>105472</v>
      </c>
      <c r="Y57" t="s">
        <v>1340</v>
      </c>
      <c r="Z57" t="s">
        <v>106</v>
      </c>
      <c r="AC57" t="b">
        <v>1</v>
      </c>
      <c r="AD57" t="s">
        <v>1611</v>
      </c>
      <c r="AE57" t="s">
        <v>109</v>
      </c>
      <c r="AF57" t="s">
        <v>1612</v>
      </c>
      <c r="AG57" t="s">
        <v>1613</v>
      </c>
      <c r="AM57">
        <v>1</v>
      </c>
      <c r="AN57">
        <v>8192</v>
      </c>
      <c r="AO57" t="s">
        <v>1392</v>
      </c>
      <c r="AP57" t="s">
        <v>1417</v>
      </c>
      <c r="AQ57" t="s">
        <v>1418</v>
      </c>
      <c r="AS57" t="b">
        <v>1</v>
      </c>
      <c r="AT57" t="s">
        <v>113</v>
      </c>
      <c r="AV57" t="s">
        <v>104</v>
      </c>
      <c r="AW57">
        <v>-1</v>
      </c>
      <c r="AX57">
        <v>-1</v>
      </c>
      <c r="AZ57">
        <v>109651</v>
      </c>
      <c r="BA57">
        <v>109651</v>
      </c>
      <c r="BB57">
        <v>105472</v>
      </c>
      <c r="BC57" t="s">
        <v>114</v>
      </c>
      <c r="BD57" t="s">
        <v>115</v>
      </c>
      <c r="BE57" t="s">
        <v>116</v>
      </c>
      <c r="BH57" t="b">
        <v>0</v>
      </c>
      <c r="BI57">
        <v>0</v>
      </c>
      <c r="BJ57">
        <v>10000</v>
      </c>
      <c r="BK57" t="b">
        <v>0</v>
      </c>
      <c r="BL57" t="b">
        <v>0</v>
      </c>
      <c r="BN57" t="b">
        <v>0</v>
      </c>
      <c r="BO57" t="s">
        <v>117</v>
      </c>
      <c r="BP57">
        <v>19</v>
      </c>
      <c r="BQ57" t="s">
        <v>115</v>
      </c>
      <c r="BR57" t="s">
        <v>118</v>
      </c>
      <c r="BT57" t="s">
        <v>1614</v>
      </c>
      <c r="BU57" t="s">
        <v>1615</v>
      </c>
      <c r="BV57" t="s">
        <v>1615</v>
      </c>
      <c r="BW57" t="s">
        <v>1615</v>
      </c>
      <c r="BX57" t="s">
        <v>1616</v>
      </c>
      <c r="BY57" t="s">
        <v>1617</v>
      </c>
      <c r="BZ57" t="s">
        <v>1618</v>
      </c>
      <c r="CH57" t="s">
        <v>121</v>
      </c>
      <c r="CI57" t="s">
        <v>122</v>
      </c>
      <c r="CJ57" t="s">
        <v>223</v>
      </c>
      <c r="CK57" t="s">
        <v>1619</v>
      </c>
      <c r="CL57" t="s">
        <v>1619</v>
      </c>
      <c r="CM57" t="s">
        <v>126</v>
      </c>
      <c r="CO57" t="s">
        <v>1620</v>
      </c>
      <c r="CP57" t="s">
        <v>1621</v>
      </c>
      <c r="CQ57" t="s">
        <v>1622</v>
      </c>
      <c r="CR57" t="s">
        <v>1478</v>
      </c>
      <c r="CS57" t="s">
        <v>1331</v>
      </c>
      <c r="CT57" t="s">
        <v>130</v>
      </c>
      <c r="CU57" t="s">
        <v>131</v>
      </c>
    </row>
    <row r="58" spans="1:99">
      <c r="A58" t="s">
        <v>475</v>
      </c>
      <c r="B58" t="s">
        <v>99</v>
      </c>
      <c r="C58" t="b">
        <v>0</v>
      </c>
      <c r="D58" t="b">
        <v>0</v>
      </c>
      <c r="E58" t="s">
        <v>100</v>
      </c>
      <c r="F58" t="s">
        <v>476</v>
      </c>
      <c r="G58" t="s">
        <v>102</v>
      </c>
      <c r="H58" t="s">
        <v>103</v>
      </c>
      <c r="I58" t="s">
        <v>100</v>
      </c>
      <c r="J58" t="b">
        <v>0</v>
      </c>
      <c r="K58" s="41">
        <v>45857.871828703697</v>
      </c>
      <c r="N58">
        <v>0</v>
      </c>
      <c r="O58" s="41">
        <v>25568.791666666672</v>
      </c>
      <c r="P58" s="41">
        <v>45931.260509259257</v>
      </c>
      <c r="Q58" s="42">
        <v>2</v>
      </c>
      <c r="R58" t="s">
        <v>105</v>
      </c>
      <c r="S58" s="42">
        <v>4096</v>
      </c>
      <c r="T58">
        <v>1024</v>
      </c>
      <c r="U58">
        <v>3</v>
      </c>
      <c r="V58">
        <v>3</v>
      </c>
      <c r="W58" s="42">
        <v>215040</v>
      </c>
      <c r="Y58" t="s">
        <v>477</v>
      </c>
      <c r="Z58" t="s">
        <v>106</v>
      </c>
      <c r="AB58" t="b">
        <v>1</v>
      </c>
      <c r="AC58" t="b">
        <v>1</v>
      </c>
      <c r="AD58" t="s">
        <v>478</v>
      </c>
      <c r="AE58" t="s">
        <v>479</v>
      </c>
      <c r="AF58" t="s">
        <v>480</v>
      </c>
      <c r="AG58" t="s">
        <v>481</v>
      </c>
      <c r="AM58">
        <v>1</v>
      </c>
      <c r="AN58">
        <v>16384</v>
      </c>
      <c r="AO58" t="s">
        <v>482</v>
      </c>
      <c r="AP58" t="s">
        <v>235</v>
      </c>
      <c r="AQ58" t="s">
        <v>236</v>
      </c>
      <c r="AS58" t="b">
        <v>1</v>
      </c>
      <c r="AT58" t="s">
        <v>113</v>
      </c>
      <c r="AV58" t="s">
        <v>104</v>
      </c>
      <c r="AW58">
        <v>-1</v>
      </c>
      <c r="AX58">
        <v>-1</v>
      </c>
      <c r="AZ58">
        <v>219225</v>
      </c>
      <c r="BA58">
        <v>219225</v>
      </c>
      <c r="BB58">
        <v>215040</v>
      </c>
      <c r="BC58" t="s">
        <v>114</v>
      </c>
      <c r="BD58" t="s">
        <v>115</v>
      </c>
      <c r="BE58" t="s">
        <v>116</v>
      </c>
      <c r="BH58" t="b">
        <v>0</v>
      </c>
      <c r="BI58">
        <v>0</v>
      </c>
      <c r="BJ58">
        <v>10000</v>
      </c>
      <c r="BK58" t="b">
        <v>0</v>
      </c>
      <c r="BL58" t="b">
        <v>0</v>
      </c>
      <c r="BN58" t="b">
        <v>0</v>
      </c>
      <c r="BO58" t="s">
        <v>117</v>
      </c>
      <c r="BP58">
        <v>15</v>
      </c>
      <c r="BQ58" t="s">
        <v>115</v>
      </c>
      <c r="BR58" t="s">
        <v>118</v>
      </c>
      <c r="BT58" t="s">
        <v>483</v>
      </c>
      <c r="BU58" t="s">
        <v>484</v>
      </c>
      <c r="BV58" t="s">
        <v>484</v>
      </c>
      <c r="BW58" t="s">
        <v>484</v>
      </c>
      <c r="BY58" t="s">
        <v>1623</v>
      </c>
      <c r="BZ58" t="s">
        <v>1624</v>
      </c>
      <c r="CA58" t="s">
        <v>485</v>
      </c>
      <c r="CH58" t="s">
        <v>121</v>
      </c>
      <c r="CI58" t="s">
        <v>486</v>
      </c>
      <c r="CJ58" t="s">
        <v>847</v>
      </c>
      <c r="CK58" t="s">
        <v>487</v>
      </c>
      <c r="CL58" t="s">
        <v>487</v>
      </c>
      <c r="CM58" t="s">
        <v>126</v>
      </c>
      <c r="CO58" t="s">
        <v>485</v>
      </c>
      <c r="CP58" t="s">
        <v>488</v>
      </c>
      <c r="CQ58" t="s">
        <v>489</v>
      </c>
      <c r="CR58" t="s">
        <v>1478</v>
      </c>
      <c r="CS58" t="s">
        <v>1331</v>
      </c>
      <c r="CT58" t="s">
        <v>130</v>
      </c>
      <c r="CU58" t="s">
        <v>131</v>
      </c>
    </row>
    <row r="59" spans="1:99">
      <c r="A59" t="s">
        <v>490</v>
      </c>
      <c r="B59" t="s">
        <v>99</v>
      </c>
      <c r="C59" t="b">
        <v>0</v>
      </c>
      <c r="D59" t="b">
        <v>0</v>
      </c>
      <c r="E59" t="s">
        <v>100</v>
      </c>
      <c r="F59" t="s">
        <v>491</v>
      </c>
      <c r="G59" t="s">
        <v>102</v>
      </c>
      <c r="H59" t="s">
        <v>103</v>
      </c>
      <c r="I59" t="s">
        <v>100</v>
      </c>
      <c r="J59" t="b">
        <v>0</v>
      </c>
      <c r="K59" s="41">
        <v>45497.433564814812</v>
      </c>
      <c r="N59">
        <v>0</v>
      </c>
      <c r="O59" s="41">
        <v>25568.791666666672</v>
      </c>
      <c r="P59" s="41">
        <v>45922.703761574077</v>
      </c>
      <c r="Q59" s="42">
        <v>4</v>
      </c>
      <c r="S59" s="42">
        <v>4096</v>
      </c>
      <c r="T59">
        <v>286</v>
      </c>
      <c r="U59">
        <v>3</v>
      </c>
      <c r="V59">
        <v>2</v>
      </c>
      <c r="W59" s="42">
        <v>174080</v>
      </c>
      <c r="Y59" t="s">
        <v>492</v>
      </c>
      <c r="Z59" t="s">
        <v>106</v>
      </c>
      <c r="AC59" t="b">
        <v>1</v>
      </c>
      <c r="AD59" t="s">
        <v>493</v>
      </c>
      <c r="AE59" t="s">
        <v>494</v>
      </c>
      <c r="AF59" t="s">
        <v>495</v>
      </c>
      <c r="AG59" t="s">
        <v>496</v>
      </c>
      <c r="AM59">
        <v>1</v>
      </c>
      <c r="AN59">
        <v>0</v>
      </c>
      <c r="AO59" t="s">
        <v>1355</v>
      </c>
      <c r="AP59" t="s">
        <v>144</v>
      </c>
      <c r="AQ59" t="s">
        <v>145</v>
      </c>
      <c r="AS59" t="b">
        <v>1</v>
      </c>
      <c r="AT59" t="s">
        <v>113</v>
      </c>
      <c r="AV59" t="s">
        <v>104</v>
      </c>
      <c r="AW59">
        <v>-1</v>
      </c>
      <c r="AX59">
        <v>-1</v>
      </c>
      <c r="AZ59">
        <v>178358</v>
      </c>
      <c r="BA59">
        <v>178358</v>
      </c>
      <c r="BB59">
        <v>174080</v>
      </c>
      <c r="BC59" t="s">
        <v>114</v>
      </c>
      <c r="BD59" t="s">
        <v>115</v>
      </c>
      <c r="BE59" t="s">
        <v>116</v>
      </c>
      <c r="BH59" t="b">
        <v>0</v>
      </c>
      <c r="BI59">
        <v>0</v>
      </c>
      <c r="BJ59">
        <v>10000</v>
      </c>
      <c r="BK59" t="b">
        <v>0</v>
      </c>
      <c r="BL59" t="b">
        <v>0</v>
      </c>
      <c r="BN59" t="b">
        <v>0</v>
      </c>
      <c r="BO59" t="s">
        <v>117</v>
      </c>
      <c r="BP59">
        <v>13</v>
      </c>
      <c r="BQ59" t="s">
        <v>115</v>
      </c>
      <c r="BR59" t="s">
        <v>118</v>
      </c>
      <c r="BT59" t="s">
        <v>497</v>
      </c>
      <c r="BU59" t="s">
        <v>498</v>
      </c>
      <c r="BV59" t="s">
        <v>498</v>
      </c>
      <c r="BW59" t="s">
        <v>498</v>
      </c>
      <c r="BX59" t="s">
        <v>499</v>
      </c>
      <c r="BY59" t="s">
        <v>1625</v>
      </c>
      <c r="BZ59" t="s">
        <v>1626</v>
      </c>
      <c r="CA59" t="s">
        <v>500</v>
      </c>
      <c r="CH59" t="s">
        <v>121</v>
      </c>
      <c r="CI59" t="s">
        <v>501</v>
      </c>
      <c r="CJ59" t="s">
        <v>502</v>
      </c>
      <c r="CK59" t="s">
        <v>503</v>
      </c>
      <c r="CL59" t="s">
        <v>503</v>
      </c>
      <c r="CO59" t="s">
        <v>500</v>
      </c>
      <c r="CP59" t="s">
        <v>504</v>
      </c>
      <c r="CQ59" t="s">
        <v>505</v>
      </c>
      <c r="CR59" t="s">
        <v>1478</v>
      </c>
      <c r="CS59" t="s">
        <v>1331</v>
      </c>
      <c r="CT59" t="s">
        <v>130</v>
      </c>
      <c r="CU59" t="s">
        <v>131</v>
      </c>
    </row>
    <row r="60" spans="1:99">
      <c r="A60" t="s">
        <v>506</v>
      </c>
      <c r="B60" t="s">
        <v>99</v>
      </c>
      <c r="C60" t="b">
        <v>0</v>
      </c>
      <c r="D60" t="b">
        <v>0</v>
      </c>
      <c r="E60" t="s">
        <v>100</v>
      </c>
      <c r="G60" t="s">
        <v>102</v>
      </c>
      <c r="H60" t="s">
        <v>305</v>
      </c>
      <c r="I60" t="s">
        <v>104</v>
      </c>
      <c r="J60" t="b">
        <v>0</v>
      </c>
      <c r="K60" s="41">
        <v>45866.417291666658</v>
      </c>
      <c r="N60">
        <v>0</v>
      </c>
      <c r="O60" s="41">
        <v>44098.061157407406</v>
      </c>
      <c r="P60" s="41">
        <v>45930.925555555557</v>
      </c>
      <c r="Q60" s="42">
        <v>16</v>
      </c>
      <c r="R60" t="s">
        <v>105</v>
      </c>
      <c r="S60" s="42">
        <v>12288</v>
      </c>
      <c r="T60">
        <v>245</v>
      </c>
      <c r="U60">
        <v>3</v>
      </c>
      <c r="V60">
        <v>1</v>
      </c>
      <c r="W60" s="42">
        <v>204800</v>
      </c>
      <c r="Y60" t="s">
        <v>477</v>
      </c>
      <c r="Z60" t="s">
        <v>106</v>
      </c>
      <c r="AC60" t="b">
        <v>1</v>
      </c>
      <c r="AE60" t="s">
        <v>507</v>
      </c>
      <c r="AF60" t="s">
        <v>479</v>
      </c>
      <c r="AG60" t="s">
        <v>508</v>
      </c>
      <c r="AM60">
        <v>1</v>
      </c>
      <c r="AN60">
        <v>4096</v>
      </c>
      <c r="AO60" t="s">
        <v>482</v>
      </c>
      <c r="AP60" t="s">
        <v>144</v>
      </c>
      <c r="AQ60" t="s">
        <v>145</v>
      </c>
      <c r="AS60" t="b">
        <v>1</v>
      </c>
      <c r="AT60" t="s">
        <v>113</v>
      </c>
      <c r="AV60" t="s">
        <v>104</v>
      </c>
      <c r="AW60">
        <v>-1</v>
      </c>
      <c r="AX60">
        <v>-1</v>
      </c>
      <c r="AZ60">
        <v>217193</v>
      </c>
      <c r="BA60">
        <v>217193</v>
      </c>
      <c r="BB60">
        <v>204800</v>
      </c>
      <c r="BC60" t="s">
        <v>114</v>
      </c>
      <c r="BD60" t="s">
        <v>115</v>
      </c>
      <c r="BE60" t="s">
        <v>116</v>
      </c>
      <c r="BH60" t="b">
        <v>0</v>
      </c>
      <c r="BI60">
        <v>0</v>
      </c>
      <c r="BJ60">
        <v>10000</v>
      </c>
      <c r="BK60" t="b">
        <v>0</v>
      </c>
      <c r="BL60" t="b">
        <v>0</v>
      </c>
      <c r="BN60" t="b">
        <v>0</v>
      </c>
      <c r="BO60" t="s">
        <v>117</v>
      </c>
      <c r="BP60">
        <v>15</v>
      </c>
      <c r="BQ60" t="s">
        <v>115</v>
      </c>
      <c r="BR60" t="s">
        <v>118</v>
      </c>
      <c r="BT60" t="s">
        <v>512</v>
      </c>
      <c r="BU60" t="s">
        <v>513</v>
      </c>
      <c r="BV60" t="s">
        <v>513</v>
      </c>
      <c r="BW60" t="s">
        <v>513</v>
      </c>
      <c r="BY60" t="s">
        <v>1627</v>
      </c>
      <c r="BZ60" t="s">
        <v>1628</v>
      </c>
      <c r="CH60" t="s">
        <v>121</v>
      </c>
      <c r="CI60" t="s">
        <v>486</v>
      </c>
      <c r="CJ60" t="s">
        <v>1441</v>
      </c>
      <c r="CK60" t="s">
        <v>511</v>
      </c>
      <c r="CM60" t="s">
        <v>126</v>
      </c>
      <c r="CO60" t="s">
        <v>514</v>
      </c>
      <c r="CP60" t="s">
        <v>515</v>
      </c>
      <c r="CQ60" t="s">
        <v>516</v>
      </c>
      <c r="CR60" t="s">
        <v>1478</v>
      </c>
      <c r="CS60" t="s">
        <v>1331</v>
      </c>
      <c r="CT60" t="s">
        <v>130</v>
      </c>
      <c r="CU60" t="s">
        <v>131</v>
      </c>
    </row>
    <row r="61" spans="1:99">
      <c r="A61" t="s">
        <v>517</v>
      </c>
      <c r="B61" t="s">
        <v>99</v>
      </c>
      <c r="C61" t="b">
        <v>0</v>
      </c>
      <c r="D61" t="b">
        <v>0</v>
      </c>
      <c r="E61" t="s">
        <v>100</v>
      </c>
      <c r="F61" t="s">
        <v>518</v>
      </c>
      <c r="G61" t="s">
        <v>102</v>
      </c>
      <c r="H61" t="s">
        <v>103</v>
      </c>
      <c r="I61" t="s">
        <v>100</v>
      </c>
      <c r="J61" t="b">
        <v>0</v>
      </c>
      <c r="K61" s="41">
        <v>45773.996400462973</v>
      </c>
      <c r="N61">
        <v>0</v>
      </c>
      <c r="O61" s="41">
        <v>25568.791666666672</v>
      </c>
      <c r="P61" s="41">
        <v>45882.64303240741</v>
      </c>
      <c r="Q61" s="42">
        <v>4</v>
      </c>
      <c r="S61" s="42">
        <v>8192</v>
      </c>
      <c r="T61">
        <v>1474</v>
      </c>
      <c r="U61">
        <v>3</v>
      </c>
      <c r="V61">
        <v>3</v>
      </c>
      <c r="W61" s="42">
        <v>460800</v>
      </c>
      <c r="Y61" t="s">
        <v>492</v>
      </c>
      <c r="Z61" t="s">
        <v>106</v>
      </c>
      <c r="AB61" t="b">
        <v>1</v>
      </c>
      <c r="AC61" t="b">
        <v>1</v>
      </c>
      <c r="AD61" t="s">
        <v>519</v>
      </c>
      <c r="AE61" t="s">
        <v>494</v>
      </c>
      <c r="AF61" t="s">
        <v>495</v>
      </c>
      <c r="AG61" t="s">
        <v>496</v>
      </c>
      <c r="AM61">
        <v>1</v>
      </c>
      <c r="AN61">
        <v>0</v>
      </c>
      <c r="AO61" t="s">
        <v>1355</v>
      </c>
      <c r="AP61" t="s">
        <v>235</v>
      </c>
      <c r="AQ61" t="s">
        <v>236</v>
      </c>
      <c r="AS61" t="b">
        <v>1</v>
      </c>
      <c r="AT61" t="s">
        <v>113</v>
      </c>
      <c r="AV61" t="s">
        <v>104</v>
      </c>
      <c r="AW61">
        <v>-1</v>
      </c>
      <c r="AX61">
        <v>-1</v>
      </c>
      <c r="AZ61">
        <v>469199</v>
      </c>
      <c r="BA61">
        <v>469199</v>
      </c>
      <c r="BB61">
        <v>460800</v>
      </c>
      <c r="BC61" t="s">
        <v>114</v>
      </c>
      <c r="BD61" t="s">
        <v>115</v>
      </c>
      <c r="BE61" t="s">
        <v>116</v>
      </c>
      <c r="BH61" t="b">
        <v>0</v>
      </c>
      <c r="BI61">
        <v>0</v>
      </c>
      <c r="BJ61">
        <v>10000</v>
      </c>
      <c r="BK61" t="b">
        <v>0</v>
      </c>
      <c r="BL61" t="b">
        <v>0</v>
      </c>
      <c r="BN61" t="b">
        <v>0</v>
      </c>
      <c r="BO61" t="s">
        <v>117</v>
      </c>
      <c r="BP61">
        <v>13</v>
      </c>
      <c r="BQ61" t="s">
        <v>115</v>
      </c>
      <c r="BR61" t="s">
        <v>118</v>
      </c>
      <c r="BT61" t="s">
        <v>520</v>
      </c>
      <c r="BU61" t="s">
        <v>521</v>
      </c>
      <c r="BV61" t="s">
        <v>521</v>
      </c>
      <c r="BW61" t="s">
        <v>521</v>
      </c>
      <c r="BY61" t="s">
        <v>1629</v>
      </c>
      <c r="BZ61" t="s">
        <v>1630</v>
      </c>
      <c r="CH61" t="s">
        <v>121</v>
      </c>
      <c r="CI61" t="s">
        <v>501</v>
      </c>
      <c r="CJ61" t="s">
        <v>550</v>
      </c>
      <c r="CK61" t="s">
        <v>522</v>
      </c>
      <c r="CL61" t="s">
        <v>522</v>
      </c>
      <c r="CO61" t="s">
        <v>523</v>
      </c>
      <c r="CP61" t="s">
        <v>524</v>
      </c>
      <c r="CQ61" t="s">
        <v>525</v>
      </c>
      <c r="CR61" t="s">
        <v>1478</v>
      </c>
      <c r="CS61" t="s">
        <v>1331</v>
      </c>
      <c r="CT61" t="s">
        <v>130</v>
      </c>
      <c r="CU61" t="s">
        <v>131</v>
      </c>
    </row>
    <row r="62" spans="1:99">
      <c r="A62" t="s">
        <v>526</v>
      </c>
      <c r="B62" t="s">
        <v>99</v>
      </c>
      <c r="C62" t="b">
        <v>0</v>
      </c>
      <c r="D62" t="b">
        <v>0</v>
      </c>
      <c r="E62" t="s">
        <v>100</v>
      </c>
      <c r="G62" t="s">
        <v>102</v>
      </c>
      <c r="H62" t="s">
        <v>305</v>
      </c>
      <c r="I62" t="s">
        <v>104</v>
      </c>
      <c r="J62" t="b">
        <v>0</v>
      </c>
      <c r="K62" s="41">
        <v>45926.695324074077</v>
      </c>
      <c r="N62">
        <v>0</v>
      </c>
      <c r="O62" s="41">
        <v>25568.791666666672</v>
      </c>
      <c r="P62" s="41">
        <v>45926.839201388888</v>
      </c>
      <c r="Q62" s="42">
        <v>4</v>
      </c>
      <c r="R62" t="s">
        <v>105</v>
      </c>
      <c r="S62" s="42">
        <v>8192</v>
      </c>
      <c r="T62">
        <v>655</v>
      </c>
      <c r="U62">
        <v>3</v>
      </c>
      <c r="V62">
        <v>2</v>
      </c>
      <c r="W62" s="42">
        <v>430080</v>
      </c>
      <c r="Y62" t="s">
        <v>229</v>
      </c>
      <c r="Z62" t="s">
        <v>106</v>
      </c>
      <c r="AB62" t="b">
        <v>1</v>
      </c>
      <c r="AC62" t="b">
        <v>1</v>
      </c>
      <c r="AE62" t="s">
        <v>1443</v>
      </c>
      <c r="AF62" t="s">
        <v>317</v>
      </c>
      <c r="AG62" t="s">
        <v>233</v>
      </c>
      <c r="AM62">
        <v>1</v>
      </c>
      <c r="AN62">
        <v>16384</v>
      </c>
      <c r="AO62" t="s">
        <v>1517</v>
      </c>
      <c r="AP62" t="s">
        <v>235</v>
      </c>
      <c r="AQ62" t="s">
        <v>236</v>
      </c>
      <c r="AS62" t="b">
        <v>1</v>
      </c>
      <c r="AT62" t="s">
        <v>113</v>
      </c>
      <c r="AV62" t="s">
        <v>104</v>
      </c>
      <c r="AW62">
        <v>-1</v>
      </c>
      <c r="AX62">
        <v>-1</v>
      </c>
      <c r="AZ62">
        <v>438458</v>
      </c>
      <c r="BA62">
        <v>438458</v>
      </c>
      <c r="BB62">
        <v>430080</v>
      </c>
      <c r="BC62" t="s">
        <v>114</v>
      </c>
      <c r="BD62" t="s">
        <v>115</v>
      </c>
      <c r="BE62" t="s">
        <v>116</v>
      </c>
      <c r="BH62" t="b">
        <v>0</v>
      </c>
      <c r="BI62">
        <v>0</v>
      </c>
      <c r="BJ62">
        <v>10000</v>
      </c>
      <c r="BK62" t="b">
        <v>0</v>
      </c>
      <c r="BL62" t="b">
        <v>0</v>
      </c>
      <c r="BN62" t="b">
        <v>0</v>
      </c>
      <c r="BO62" t="s">
        <v>117</v>
      </c>
      <c r="BP62">
        <v>19</v>
      </c>
      <c r="BQ62" t="s">
        <v>115</v>
      </c>
      <c r="BR62" t="s">
        <v>118</v>
      </c>
      <c r="BT62" t="s">
        <v>527</v>
      </c>
      <c r="BU62" t="s">
        <v>528</v>
      </c>
      <c r="BV62" t="s">
        <v>528</v>
      </c>
      <c r="BW62" t="s">
        <v>528</v>
      </c>
      <c r="BX62" t="s">
        <v>529</v>
      </c>
      <c r="BY62" t="s">
        <v>1631</v>
      </c>
      <c r="BZ62" t="s">
        <v>1632</v>
      </c>
      <c r="CH62" t="s">
        <v>121</v>
      </c>
      <c r="CI62" t="s">
        <v>239</v>
      </c>
      <c r="CJ62" t="s">
        <v>276</v>
      </c>
      <c r="CK62" t="s">
        <v>522</v>
      </c>
      <c r="CM62" t="s">
        <v>126</v>
      </c>
      <c r="CO62" t="s">
        <v>531</v>
      </c>
      <c r="CP62" t="s">
        <v>532</v>
      </c>
      <c r="CQ62" t="s">
        <v>533</v>
      </c>
      <c r="CR62" t="s">
        <v>1478</v>
      </c>
      <c r="CS62" t="s">
        <v>1331</v>
      </c>
      <c r="CT62" t="s">
        <v>130</v>
      </c>
      <c r="CU62" t="s">
        <v>131</v>
      </c>
    </row>
    <row r="63" spans="1:99">
      <c r="A63" t="s">
        <v>534</v>
      </c>
      <c r="B63" t="s">
        <v>99</v>
      </c>
      <c r="C63" t="b">
        <v>0</v>
      </c>
      <c r="D63" t="b">
        <v>0</v>
      </c>
      <c r="E63" t="s">
        <v>100</v>
      </c>
      <c r="F63" t="s">
        <v>535</v>
      </c>
      <c r="G63" t="s">
        <v>102</v>
      </c>
      <c r="H63" t="s">
        <v>103</v>
      </c>
      <c r="I63" t="s">
        <v>100</v>
      </c>
      <c r="J63" t="b">
        <v>0</v>
      </c>
      <c r="K63" s="41">
        <v>45563.473796296297</v>
      </c>
      <c r="N63">
        <v>0</v>
      </c>
      <c r="O63" s="41">
        <v>25568.791666666672</v>
      </c>
      <c r="P63" s="41">
        <v>45927.099606481483</v>
      </c>
      <c r="Q63" s="42">
        <v>2</v>
      </c>
      <c r="R63" t="s">
        <v>105</v>
      </c>
      <c r="S63" s="42">
        <v>8192</v>
      </c>
      <c r="T63">
        <v>737</v>
      </c>
      <c r="U63">
        <v>3</v>
      </c>
      <c r="V63">
        <v>4</v>
      </c>
      <c r="W63" s="42">
        <v>757760</v>
      </c>
      <c r="Y63" t="s">
        <v>477</v>
      </c>
      <c r="Z63" t="s">
        <v>106</v>
      </c>
      <c r="AB63" t="b">
        <v>1</v>
      </c>
      <c r="AC63" t="b">
        <v>1</v>
      </c>
      <c r="AD63" t="s">
        <v>536</v>
      </c>
      <c r="AE63" t="s">
        <v>479</v>
      </c>
      <c r="AF63" t="s">
        <v>537</v>
      </c>
      <c r="AG63" t="s">
        <v>508</v>
      </c>
      <c r="AM63">
        <v>1</v>
      </c>
      <c r="AN63">
        <v>16384</v>
      </c>
      <c r="AO63" t="s">
        <v>482</v>
      </c>
      <c r="AP63" t="s">
        <v>235</v>
      </c>
      <c r="AQ63" t="s">
        <v>236</v>
      </c>
      <c r="AS63" t="b">
        <v>1</v>
      </c>
      <c r="AT63" t="s">
        <v>113</v>
      </c>
      <c r="AV63" t="s">
        <v>104</v>
      </c>
      <c r="AW63">
        <v>-1</v>
      </c>
      <c r="AX63">
        <v>-1</v>
      </c>
      <c r="AZ63">
        <v>766099</v>
      </c>
      <c r="BA63">
        <v>766099</v>
      </c>
      <c r="BB63">
        <v>757760</v>
      </c>
      <c r="BC63" t="s">
        <v>114</v>
      </c>
      <c r="BD63" t="s">
        <v>115</v>
      </c>
      <c r="BE63" t="s">
        <v>116</v>
      </c>
      <c r="BH63" t="b">
        <v>0</v>
      </c>
      <c r="BI63">
        <v>0</v>
      </c>
      <c r="BJ63">
        <v>10000</v>
      </c>
      <c r="BK63" t="b">
        <v>0</v>
      </c>
      <c r="BL63" t="b">
        <v>0</v>
      </c>
      <c r="BN63" t="b">
        <v>0</v>
      </c>
      <c r="BO63" t="s">
        <v>117</v>
      </c>
      <c r="BP63">
        <v>13</v>
      </c>
      <c r="BQ63" t="s">
        <v>115</v>
      </c>
      <c r="BR63" t="s">
        <v>118</v>
      </c>
      <c r="BT63" t="s">
        <v>538</v>
      </c>
      <c r="BU63" t="s">
        <v>539</v>
      </c>
      <c r="BV63" t="s">
        <v>539</v>
      </c>
      <c r="BW63" t="s">
        <v>539</v>
      </c>
      <c r="BX63" t="s">
        <v>540</v>
      </c>
      <c r="BY63" t="s">
        <v>1633</v>
      </c>
      <c r="BZ63" t="s">
        <v>1634</v>
      </c>
      <c r="CA63" t="s">
        <v>541</v>
      </c>
      <c r="CH63" t="s">
        <v>121</v>
      </c>
      <c r="CI63" t="s">
        <v>486</v>
      </c>
      <c r="CJ63" t="s">
        <v>847</v>
      </c>
      <c r="CK63" t="s">
        <v>487</v>
      </c>
      <c r="CL63" t="s">
        <v>487</v>
      </c>
      <c r="CM63" t="s">
        <v>126</v>
      </c>
      <c r="CO63" t="s">
        <v>541</v>
      </c>
      <c r="CP63" t="s">
        <v>542</v>
      </c>
      <c r="CQ63" t="s">
        <v>543</v>
      </c>
      <c r="CR63" t="s">
        <v>1478</v>
      </c>
      <c r="CS63" t="s">
        <v>1331</v>
      </c>
      <c r="CT63" t="s">
        <v>130</v>
      </c>
      <c r="CU63" t="s">
        <v>131</v>
      </c>
    </row>
    <row r="64" spans="1:99">
      <c r="A64" t="s">
        <v>544</v>
      </c>
      <c r="B64" t="s">
        <v>99</v>
      </c>
      <c r="C64" t="b">
        <v>0</v>
      </c>
      <c r="D64" t="b">
        <v>0</v>
      </c>
      <c r="E64" t="s">
        <v>100</v>
      </c>
      <c r="F64" t="s">
        <v>545</v>
      </c>
      <c r="G64" t="s">
        <v>102</v>
      </c>
      <c r="H64" t="s">
        <v>103</v>
      </c>
      <c r="I64" t="s">
        <v>100</v>
      </c>
      <c r="J64" t="b">
        <v>0</v>
      </c>
      <c r="K64" s="41">
        <v>45641.429293981477</v>
      </c>
      <c r="N64">
        <v>0</v>
      </c>
      <c r="O64" s="41">
        <v>25568.791666666672</v>
      </c>
      <c r="P64" s="41">
        <v>45922.727141203701</v>
      </c>
      <c r="Q64" s="42">
        <v>8</v>
      </c>
      <c r="S64" s="42">
        <v>4096</v>
      </c>
      <c r="T64">
        <v>409</v>
      </c>
      <c r="U64">
        <v>3</v>
      </c>
      <c r="V64">
        <v>2</v>
      </c>
      <c r="W64" s="42">
        <v>194560</v>
      </c>
      <c r="Y64" t="s">
        <v>492</v>
      </c>
      <c r="Z64" t="s">
        <v>106</v>
      </c>
      <c r="AC64" t="b">
        <v>1</v>
      </c>
      <c r="AD64" t="s">
        <v>546</v>
      </c>
      <c r="AE64" t="s">
        <v>494</v>
      </c>
      <c r="AF64" t="s">
        <v>495</v>
      </c>
      <c r="AG64" t="s">
        <v>496</v>
      </c>
      <c r="AM64">
        <v>1</v>
      </c>
      <c r="AN64">
        <v>4096</v>
      </c>
      <c r="AO64" t="s">
        <v>1355</v>
      </c>
      <c r="AP64" t="s">
        <v>235</v>
      </c>
      <c r="AQ64" t="s">
        <v>236</v>
      </c>
      <c r="AS64" t="b">
        <v>1</v>
      </c>
      <c r="AT64" t="s">
        <v>113</v>
      </c>
      <c r="AV64" t="s">
        <v>104</v>
      </c>
      <c r="AW64">
        <v>-1</v>
      </c>
      <c r="AX64">
        <v>-1</v>
      </c>
      <c r="AZ64">
        <v>198858</v>
      </c>
      <c r="BA64">
        <v>198858</v>
      </c>
      <c r="BB64">
        <v>194560</v>
      </c>
      <c r="BC64" t="s">
        <v>114</v>
      </c>
      <c r="BD64" t="s">
        <v>115</v>
      </c>
      <c r="BE64" t="s">
        <v>116</v>
      </c>
      <c r="BH64" t="b">
        <v>0</v>
      </c>
      <c r="BI64">
        <v>0</v>
      </c>
      <c r="BJ64">
        <v>10000</v>
      </c>
      <c r="BK64" t="b">
        <v>0</v>
      </c>
      <c r="BL64" t="b">
        <v>0</v>
      </c>
      <c r="BN64" t="b">
        <v>0</v>
      </c>
      <c r="BO64" t="s">
        <v>117</v>
      </c>
      <c r="BP64">
        <v>13</v>
      </c>
      <c r="BQ64" t="s">
        <v>115</v>
      </c>
      <c r="BR64" t="s">
        <v>118</v>
      </c>
      <c r="BT64" t="s">
        <v>547</v>
      </c>
      <c r="BU64" t="s">
        <v>548</v>
      </c>
      <c r="BV64" t="s">
        <v>548</v>
      </c>
      <c r="BW64" t="s">
        <v>548</v>
      </c>
      <c r="BY64" t="s">
        <v>1635</v>
      </c>
      <c r="BZ64" t="s">
        <v>1636</v>
      </c>
      <c r="CA64" t="s">
        <v>549</v>
      </c>
      <c r="CH64" t="s">
        <v>121</v>
      </c>
      <c r="CI64" t="s">
        <v>501</v>
      </c>
      <c r="CJ64" t="s">
        <v>550</v>
      </c>
      <c r="CK64" t="s">
        <v>503</v>
      </c>
      <c r="CL64" t="s">
        <v>503</v>
      </c>
      <c r="CO64" t="s">
        <v>549</v>
      </c>
      <c r="CP64" t="s">
        <v>551</v>
      </c>
      <c r="CQ64" t="s">
        <v>552</v>
      </c>
      <c r="CR64" t="s">
        <v>1478</v>
      </c>
      <c r="CS64" t="s">
        <v>1331</v>
      </c>
      <c r="CT64" t="s">
        <v>130</v>
      </c>
      <c r="CU64" t="s">
        <v>131</v>
      </c>
    </row>
    <row r="65" spans="1:99">
      <c r="A65" t="s">
        <v>553</v>
      </c>
      <c r="B65" t="s">
        <v>99</v>
      </c>
      <c r="C65" t="b">
        <v>0</v>
      </c>
      <c r="D65" t="b">
        <v>0</v>
      </c>
      <c r="E65" t="s">
        <v>100</v>
      </c>
      <c r="F65" t="s">
        <v>554</v>
      </c>
      <c r="G65" t="s">
        <v>102</v>
      </c>
      <c r="H65" t="s">
        <v>103</v>
      </c>
      <c r="I65" t="s">
        <v>100</v>
      </c>
      <c r="J65" t="b">
        <v>0</v>
      </c>
      <c r="K65" s="41">
        <v>45897.638842592591</v>
      </c>
      <c r="N65">
        <v>0</v>
      </c>
      <c r="O65" s="41">
        <v>25568.791666666672</v>
      </c>
      <c r="P65" s="41">
        <v>45897.676817129628</v>
      </c>
      <c r="Q65" s="42">
        <v>2</v>
      </c>
      <c r="R65" t="s">
        <v>105</v>
      </c>
      <c r="S65" s="42">
        <v>8192</v>
      </c>
      <c r="T65">
        <v>983</v>
      </c>
      <c r="U65">
        <v>3</v>
      </c>
      <c r="V65">
        <v>1</v>
      </c>
      <c r="W65" s="42">
        <v>163840</v>
      </c>
      <c r="Y65" t="s">
        <v>229</v>
      </c>
      <c r="Z65" t="s">
        <v>106</v>
      </c>
      <c r="AB65" t="b">
        <v>1</v>
      </c>
      <c r="AC65" t="b">
        <v>1</v>
      </c>
      <c r="AD65" t="s">
        <v>1442</v>
      </c>
      <c r="AE65" t="s">
        <v>448</v>
      </c>
      <c r="AF65" t="s">
        <v>1443</v>
      </c>
      <c r="AG65" t="s">
        <v>233</v>
      </c>
      <c r="AM65">
        <v>1</v>
      </c>
      <c r="AN65">
        <v>16384</v>
      </c>
      <c r="AO65" t="s">
        <v>1517</v>
      </c>
      <c r="AP65" t="s">
        <v>235</v>
      </c>
      <c r="AQ65" t="s">
        <v>236</v>
      </c>
      <c r="AS65" t="b">
        <v>1</v>
      </c>
      <c r="AT65" t="s">
        <v>113</v>
      </c>
      <c r="AV65" t="s">
        <v>104</v>
      </c>
      <c r="AW65">
        <v>-1</v>
      </c>
      <c r="AX65">
        <v>-1</v>
      </c>
      <c r="AZ65">
        <v>172232</v>
      </c>
      <c r="BA65">
        <v>172232</v>
      </c>
      <c r="BB65">
        <v>163840</v>
      </c>
      <c r="BC65" t="s">
        <v>114</v>
      </c>
      <c r="BD65" t="s">
        <v>115</v>
      </c>
      <c r="BE65" t="s">
        <v>116</v>
      </c>
      <c r="BH65" t="b">
        <v>0</v>
      </c>
      <c r="BI65">
        <v>0</v>
      </c>
      <c r="BJ65">
        <v>10000</v>
      </c>
      <c r="BK65" t="b">
        <v>0</v>
      </c>
      <c r="BL65" t="b">
        <v>0</v>
      </c>
      <c r="BN65" t="b">
        <v>0</v>
      </c>
      <c r="BO65" t="s">
        <v>117</v>
      </c>
      <c r="BP65">
        <v>19</v>
      </c>
      <c r="BQ65" t="s">
        <v>115</v>
      </c>
      <c r="BR65" t="s">
        <v>118</v>
      </c>
      <c r="BT65" t="s">
        <v>555</v>
      </c>
      <c r="BU65" t="s">
        <v>556</v>
      </c>
      <c r="BV65" t="s">
        <v>556</v>
      </c>
      <c r="BW65" t="s">
        <v>556</v>
      </c>
      <c r="BY65" t="s">
        <v>1637</v>
      </c>
      <c r="BZ65" t="s">
        <v>1638</v>
      </c>
      <c r="CH65" t="s">
        <v>121</v>
      </c>
      <c r="CI65" t="s">
        <v>239</v>
      </c>
      <c r="CJ65" t="s">
        <v>312</v>
      </c>
      <c r="CK65" t="s">
        <v>487</v>
      </c>
      <c r="CL65" t="s">
        <v>487</v>
      </c>
      <c r="CM65" t="s">
        <v>126</v>
      </c>
      <c r="CO65" t="s">
        <v>557</v>
      </c>
      <c r="CP65" t="s">
        <v>558</v>
      </c>
      <c r="CQ65" t="s">
        <v>559</v>
      </c>
      <c r="CR65" t="s">
        <v>1478</v>
      </c>
      <c r="CS65" t="s">
        <v>1331</v>
      </c>
      <c r="CT65" t="s">
        <v>130</v>
      </c>
      <c r="CU65" t="s">
        <v>131</v>
      </c>
    </row>
    <row r="66" spans="1:99">
      <c r="A66" t="s">
        <v>560</v>
      </c>
      <c r="B66" t="s">
        <v>99</v>
      </c>
      <c r="C66" t="b">
        <v>0</v>
      </c>
      <c r="D66" t="b">
        <v>0</v>
      </c>
      <c r="E66" t="s">
        <v>100</v>
      </c>
      <c r="F66" t="s">
        <v>561</v>
      </c>
      <c r="G66" t="s">
        <v>102</v>
      </c>
      <c r="H66" t="s">
        <v>103</v>
      </c>
      <c r="I66" t="s">
        <v>100</v>
      </c>
      <c r="J66" t="b">
        <v>0</v>
      </c>
      <c r="K66" s="41">
        <v>45926.670543981483</v>
      </c>
      <c r="N66">
        <v>0</v>
      </c>
      <c r="O66" s="41">
        <v>25568.791666666672</v>
      </c>
      <c r="P66" s="41">
        <v>45930.501585648148</v>
      </c>
      <c r="Q66" s="42">
        <v>2</v>
      </c>
      <c r="R66" t="s">
        <v>105</v>
      </c>
      <c r="S66" s="42">
        <v>4096</v>
      </c>
      <c r="T66">
        <v>286</v>
      </c>
      <c r="U66">
        <v>3</v>
      </c>
      <c r="V66">
        <v>2</v>
      </c>
      <c r="W66" s="42">
        <v>122880</v>
      </c>
      <c r="Y66" t="s">
        <v>229</v>
      </c>
      <c r="Z66" t="s">
        <v>106</v>
      </c>
      <c r="AC66" t="b">
        <v>1</v>
      </c>
      <c r="AD66" t="s">
        <v>562</v>
      </c>
      <c r="AE66" t="s">
        <v>317</v>
      </c>
      <c r="AF66" t="s">
        <v>1443</v>
      </c>
      <c r="AG66" t="s">
        <v>233</v>
      </c>
      <c r="AM66">
        <v>1</v>
      </c>
      <c r="AN66">
        <v>16384</v>
      </c>
      <c r="AO66" t="s">
        <v>1517</v>
      </c>
      <c r="AP66" t="s">
        <v>235</v>
      </c>
      <c r="AQ66" t="s">
        <v>236</v>
      </c>
      <c r="AS66" t="b">
        <v>1</v>
      </c>
      <c r="AT66" t="s">
        <v>113</v>
      </c>
      <c r="AV66" t="s">
        <v>104</v>
      </c>
      <c r="AW66">
        <v>-1</v>
      </c>
      <c r="AX66">
        <v>-1</v>
      </c>
      <c r="AZ66">
        <v>127120</v>
      </c>
      <c r="BA66">
        <v>127120</v>
      </c>
      <c r="BB66">
        <v>122880</v>
      </c>
      <c r="BC66" t="s">
        <v>114</v>
      </c>
      <c r="BD66" t="s">
        <v>115</v>
      </c>
      <c r="BE66" t="s">
        <v>116</v>
      </c>
      <c r="BH66" t="b">
        <v>0</v>
      </c>
      <c r="BI66">
        <v>0</v>
      </c>
      <c r="BJ66">
        <v>10000</v>
      </c>
      <c r="BK66" t="b">
        <v>0</v>
      </c>
      <c r="BL66" t="b">
        <v>0</v>
      </c>
      <c r="BN66" t="b">
        <v>0</v>
      </c>
      <c r="BO66" t="s">
        <v>117</v>
      </c>
      <c r="BP66">
        <v>19</v>
      </c>
      <c r="BQ66" t="s">
        <v>115</v>
      </c>
      <c r="BR66" t="s">
        <v>118</v>
      </c>
      <c r="BT66" t="s">
        <v>563</v>
      </c>
      <c r="BU66" t="s">
        <v>564</v>
      </c>
      <c r="BV66" t="s">
        <v>564</v>
      </c>
      <c r="BW66" t="s">
        <v>564</v>
      </c>
      <c r="BX66" t="s">
        <v>565</v>
      </c>
      <c r="BY66" t="s">
        <v>1639</v>
      </c>
      <c r="BZ66" t="s">
        <v>1640</v>
      </c>
      <c r="CH66" t="s">
        <v>121</v>
      </c>
      <c r="CI66" t="s">
        <v>239</v>
      </c>
      <c r="CJ66" t="s">
        <v>259</v>
      </c>
      <c r="CK66" t="s">
        <v>567</v>
      </c>
      <c r="CL66" t="s">
        <v>568</v>
      </c>
      <c r="CM66" t="s">
        <v>126</v>
      </c>
      <c r="CO66" t="s">
        <v>1641</v>
      </c>
      <c r="CP66" t="s">
        <v>569</v>
      </c>
      <c r="CQ66" t="s">
        <v>570</v>
      </c>
      <c r="CR66" t="s">
        <v>1478</v>
      </c>
      <c r="CS66" t="s">
        <v>1331</v>
      </c>
      <c r="CT66" t="s">
        <v>130</v>
      </c>
      <c r="CU66" t="s">
        <v>131</v>
      </c>
    </row>
    <row r="67" spans="1:99">
      <c r="A67" t="s">
        <v>571</v>
      </c>
      <c r="B67" t="s">
        <v>99</v>
      </c>
      <c r="C67" t="b">
        <v>0</v>
      </c>
      <c r="D67" t="b">
        <v>0</v>
      </c>
      <c r="E67" t="s">
        <v>100</v>
      </c>
      <c r="F67" t="s">
        <v>572</v>
      </c>
      <c r="G67" t="s">
        <v>102</v>
      </c>
      <c r="H67" t="s">
        <v>103</v>
      </c>
      <c r="I67" t="s">
        <v>100</v>
      </c>
      <c r="J67" t="b">
        <v>0</v>
      </c>
      <c r="K67" s="41">
        <v>45622.476006944453</v>
      </c>
      <c r="N67">
        <v>0</v>
      </c>
      <c r="O67" s="41">
        <v>25568.791666666672</v>
      </c>
      <c r="P67" s="41">
        <v>45922.723321759258</v>
      </c>
      <c r="Q67" s="42">
        <v>4</v>
      </c>
      <c r="S67" s="42">
        <v>4096</v>
      </c>
      <c r="T67">
        <v>696</v>
      </c>
      <c r="U67">
        <v>3</v>
      </c>
      <c r="V67">
        <v>2</v>
      </c>
      <c r="W67" s="42">
        <v>133120</v>
      </c>
      <c r="Y67" t="s">
        <v>492</v>
      </c>
      <c r="Z67" t="s">
        <v>106</v>
      </c>
      <c r="AC67" t="b">
        <v>1</v>
      </c>
      <c r="AD67" t="s">
        <v>573</v>
      </c>
      <c r="AE67" t="s">
        <v>494</v>
      </c>
      <c r="AF67" t="s">
        <v>495</v>
      </c>
      <c r="AG67" t="s">
        <v>496</v>
      </c>
      <c r="AM67">
        <v>1</v>
      </c>
      <c r="AN67">
        <v>0</v>
      </c>
      <c r="AO67" t="s">
        <v>1355</v>
      </c>
      <c r="AP67" t="s">
        <v>235</v>
      </c>
      <c r="AQ67" t="s">
        <v>236</v>
      </c>
      <c r="AS67" t="b">
        <v>1</v>
      </c>
      <c r="AT67" t="s">
        <v>113</v>
      </c>
      <c r="AV67" t="s">
        <v>104</v>
      </c>
      <c r="AW67">
        <v>-1</v>
      </c>
      <c r="AX67">
        <v>-1</v>
      </c>
      <c r="AZ67">
        <v>137405</v>
      </c>
      <c r="BA67">
        <v>137405</v>
      </c>
      <c r="BB67">
        <v>133120</v>
      </c>
      <c r="BC67" t="s">
        <v>114</v>
      </c>
      <c r="BD67" t="s">
        <v>115</v>
      </c>
      <c r="BE67" t="s">
        <v>116</v>
      </c>
      <c r="BH67" t="b">
        <v>0</v>
      </c>
      <c r="BI67">
        <v>0</v>
      </c>
      <c r="BJ67">
        <v>10000</v>
      </c>
      <c r="BK67" t="b">
        <v>0</v>
      </c>
      <c r="BL67" t="b">
        <v>0</v>
      </c>
      <c r="BN67" t="b">
        <v>0</v>
      </c>
      <c r="BO67" t="s">
        <v>117</v>
      </c>
      <c r="BP67">
        <v>13</v>
      </c>
      <c r="BQ67" t="s">
        <v>115</v>
      </c>
      <c r="BR67" t="s">
        <v>118</v>
      </c>
      <c r="BT67" t="s">
        <v>574</v>
      </c>
      <c r="BU67" t="s">
        <v>575</v>
      </c>
      <c r="BV67" t="s">
        <v>575</v>
      </c>
      <c r="BW67" t="s">
        <v>575</v>
      </c>
      <c r="BY67" t="s">
        <v>1642</v>
      </c>
      <c r="BZ67" t="s">
        <v>1643</v>
      </c>
      <c r="CA67" t="s">
        <v>576</v>
      </c>
      <c r="CH67" t="s">
        <v>121</v>
      </c>
      <c r="CI67" t="s">
        <v>501</v>
      </c>
      <c r="CJ67" t="s">
        <v>502</v>
      </c>
      <c r="CK67" t="s">
        <v>503</v>
      </c>
      <c r="CL67" t="s">
        <v>503</v>
      </c>
      <c r="CO67" t="s">
        <v>576</v>
      </c>
      <c r="CP67" t="s">
        <v>577</v>
      </c>
      <c r="CQ67" t="s">
        <v>578</v>
      </c>
      <c r="CR67" t="s">
        <v>1478</v>
      </c>
      <c r="CS67" t="s">
        <v>1331</v>
      </c>
      <c r="CT67" t="s">
        <v>130</v>
      </c>
      <c r="CU67" t="s">
        <v>131</v>
      </c>
    </row>
    <row r="68" spans="1:99">
      <c r="A68" t="s">
        <v>579</v>
      </c>
      <c r="B68" t="s">
        <v>99</v>
      </c>
      <c r="C68" t="b">
        <v>0</v>
      </c>
      <c r="D68" t="b">
        <v>0</v>
      </c>
      <c r="E68" t="s">
        <v>100</v>
      </c>
      <c r="F68" t="s">
        <v>580</v>
      </c>
      <c r="G68" t="s">
        <v>102</v>
      </c>
      <c r="H68" t="s">
        <v>103</v>
      </c>
      <c r="I68" t="s">
        <v>100</v>
      </c>
      <c r="J68" t="b">
        <v>0</v>
      </c>
      <c r="K68" s="41">
        <v>45777.799155092587</v>
      </c>
      <c r="N68">
        <v>0</v>
      </c>
      <c r="O68" s="41">
        <v>25568.791666666672</v>
      </c>
      <c r="P68" s="41">
        <v>45777.799131944441</v>
      </c>
      <c r="Q68" s="42">
        <v>8</v>
      </c>
      <c r="S68" s="42">
        <v>16384</v>
      </c>
      <c r="T68">
        <v>10158</v>
      </c>
      <c r="U68">
        <v>3</v>
      </c>
      <c r="V68">
        <v>21</v>
      </c>
      <c r="W68" s="42">
        <v>62935040</v>
      </c>
      <c r="Y68" t="s">
        <v>492</v>
      </c>
      <c r="Z68" t="s">
        <v>106</v>
      </c>
      <c r="AC68" t="b">
        <v>1</v>
      </c>
      <c r="AD68" t="s">
        <v>581</v>
      </c>
      <c r="AE68" t="s">
        <v>495</v>
      </c>
      <c r="AF68" t="s">
        <v>494</v>
      </c>
      <c r="AG68" t="s">
        <v>496</v>
      </c>
      <c r="AM68">
        <v>1</v>
      </c>
      <c r="AN68">
        <v>0</v>
      </c>
      <c r="AO68" t="s">
        <v>1355</v>
      </c>
      <c r="AP68" t="s">
        <v>235</v>
      </c>
      <c r="AQ68" t="s">
        <v>236</v>
      </c>
      <c r="AS68" t="b">
        <v>1</v>
      </c>
      <c r="AT68" t="s">
        <v>113</v>
      </c>
      <c r="AV68" t="s">
        <v>104</v>
      </c>
      <c r="AW68">
        <v>-1</v>
      </c>
      <c r="AX68">
        <v>-1</v>
      </c>
      <c r="AZ68">
        <v>62952655</v>
      </c>
      <c r="BA68">
        <v>62952655</v>
      </c>
      <c r="BB68">
        <v>62935040</v>
      </c>
      <c r="BC68" t="s">
        <v>114</v>
      </c>
      <c r="BD68" t="s">
        <v>115</v>
      </c>
      <c r="BE68" t="s">
        <v>116</v>
      </c>
      <c r="BH68" t="b">
        <v>0</v>
      </c>
      <c r="BI68">
        <v>400</v>
      </c>
      <c r="BJ68">
        <v>10000</v>
      </c>
      <c r="BK68" t="b">
        <v>0</v>
      </c>
      <c r="BL68" t="b">
        <v>0</v>
      </c>
      <c r="BN68" t="b">
        <v>0</v>
      </c>
      <c r="BO68" t="s">
        <v>117</v>
      </c>
      <c r="BP68">
        <v>13</v>
      </c>
      <c r="BQ68" t="s">
        <v>115</v>
      </c>
      <c r="BR68" t="s">
        <v>118</v>
      </c>
      <c r="BT68" t="s">
        <v>582</v>
      </c>
      <c r="BU68" t="s">
        <v>583</v>
      </c>
      <c r="BV68" t="s">
        <v>583</v>
      </c>
      <c r="BW68" t="s">
        <v>583</v>
      </c>
      <c r="BX68" t="s">
        <v>584</v>
      </c>
      <c r="BY68" t="s">
        <v>1644</v>
      </c>
      <c r="BZ68" t="s">
        <v>1645</v>
      </c>
      <c r="CH68" t="s">
        <v>121</v>
      </c>
      <c r="CI68" t="s">
        <v>501</v>
      </c>
      <c r="CJ68" t="s">
        <v>502</v>
      </c>
      <c r="CK68" t="s">
        <v>585</v>
      </c>
      <c r="CL68" t="s">
        <v>586</v>
      </c>
      <c r="CO68" t="s">
        <v>587</v>
      </c>
      <c r="CP68" t="s">
        <v>588</v>
      </c>
      <c r="CQ68" t="s">
        <v>589</v>
      </c>
      <c r="CR68" t="s">
        <v>1478</v>
      </c>
      <c r="CS68" t="s">
        <v>1331</v>
      </c>
      <c r="CT68" t="s">
        <v>130</v>
      </c>
      <c r="CU68" t="s">
        <v>131</v>
      </c>
    </row>
    <row r="69" spans="1:99">
      <c r="A69" t="s">
        <v>590</v>
      </c>
      <c r="B69" t="s">
        <v>99</v>
      </c>
      <c r="C69" t="b">
        <v>0</v>
      </c>
      <c r="D69" t="b">
        <v>0</v>
      </c>
      <c r="E69" t="s">
        <v>100</v>
      </c>
      <c r="F69" t="s">
        <v>591</v>
      </c>
      <c r="G69" t="s">
        <v>102</v>
      </c>
      <c r="H69" t="s">
        <v>103</v>
      </c>
      <c r="I69" t="s">
        <v>100</v>
      </c>
      <c r="J69" t="b">
        <v>0</v>
      </c>
      <c r="K69" s="41">
        <v>45926.694664351853</v>
      </c>
      <c r="N69">
        <v>0</v>
      </c>
      <c r="O69" s="41">
        <v>25568.791666666672</v>
      </c>
      <c r="P69" s="41">
        <v>45931.036180555559</v>
      </c>
      <c r="Q69" s="42">
        <v>4</v>
      </c>
      <c r="R69" t="s">
        <v>105</v>
      </c>
      <c r="S69" s="42">
        <v>4096</v>
      </c>
      <c r="T69">
        <v>655</v>
      </c>
      <c r="U69">
        <v>3</v>
      </c>
      <c r="V69">
        <v>1</v>
      </c>
      <c r="W69" s="42">
        <v>153600</v>
      </c>
      <c r="Y69" t="s">
        <v>229</v>
      </c>
      <c r="Z69" t="s">
        <v>106</v>
      </c>
      <c r="AB69" t="b">
        <v>1</v>
      </c>
      <c r="AC69" t="b">
        <v>1</v>
      </c>
      <c r="AD69" t="s">
        <v>592</v>
      </c>
      <c r="AE69" t="s">
        <v>448</v>
      </c>
      <c r="AF69" t="s">
        <v>233</v>
      </c>
      <c r="AG69" t="s">
        <v>1443</v>
      </c>
      <c r="AM69">
        <v>1</v>
      </c>
      <c r="AN69">
        <v>16384</v>
      </c>
      <c r="AO69" t="s">
        <v>1517</v>
      </c>
      <c r="AP69" t="s">
        <v>235</v>
      </c>
      <c r="AQ69" t="s">
        <v>236</v>
      </c>
      <c r="AS69" t="b">
        <v>1</v>
      </c>
      <c r="AT69" t="s">
        <v>113</v>
      </c>
      <c r="AV69" t="s">
        <v>104</v>
      </c>
      <c r="AW69">
        <v>-1</v>
      </c>
      <c r="AX69">
        <v>-1</v>
      </c>
      <c r="AZ69">
        <v>157785</v>
      </c>
      <c r="BA69">
        <v>157785</v>
      </c>
      <c r="BB69">
        <v>153600</v>
      </c>
      <c r="BC69" t="s">
        <v>114</v>
      </c>
      <c r="BD69" t="s">
        <v>115</v>
      </c>
      <c r="BE69" t="s">
        <v>116</v>
      </c>
      <c r="BH69" t="b">
        <v>0</v>
      </c>
      <c r="BI69">
        <v>0</v>
      </c>
      <c r="BJ69">
        <v>10000</v>
      </c>
      <c r="BK69" t="b">
        <v>0</v>
      </c>
      <c r="BL69" t="b">
        <v>0</v>
      </c>
      <c r="BN69" t="b">
        <v>0</v>
      </c>
      <c r="BO69" t="s">
        <v>117</v>
      </c>
      <c r="BP69">
        <v>19</v>
      </c>
      <c r="BQ69" t="s">
        <v>115</v>
      </c>
      <c r="BR69" t="s">
        <v>118</v>
      </c>
      <c r="BT69" t="s">
        <v>593</v>
      </c>
      <c r="BU69" t="s">
        <v>594</v>
      </c>
      <c r="BV69" t="s">
        <v>594</v>
      </c>
      <c r="BW69" t="s">
        <v>594</v>
      </c>
      <c r="BY69" t="s">
        <v>1646</v>
      </c>
      <c r="BZ69" t="s">
        <v>1647</v>
      </c>
      <c r="CH69" t="s">
        <v>121</v>
      </c>
      <c r="CI69" t="s">
        <v>239</v>
      </c>
      <c r="CJ69" t="s">
        <v>276</v>
      </c>
      <c r="CK69" t="s">
        <v>522</v>
      </c>
      <c r="CL69" t="s">
        <v>522</v>
      </c>
      <c r="CM69" t="s">
        <v>126</v>
      </c>
      <c r="CO69" t="s">
        <v>595</v>
      </c>
      <c r="CP69" t="s">
        <v>596</v>
      </c>
      <c r="CQ69" t="s">
        <v>597</v>
      </c>
      <c r="CR69" t="s">
        <v>1478</v>
      </c>
      <c r="CS69" t="s">
        <v>1331</v>
      </c>
      <c r="CT69" t="s">
        <v>130</v>
      </c>
      <c r="CU69" t="s">
        <v>131</v>
      </c>
    </row>
    <row r="70" spans="1:99">
      <c r="A70" t="s">
        <v>598</v>
      </c>
      <c r="B70" t="s">
        <v>99</v>
      </c>
      <c r="C70" t="b">
        <v>0</v>
      </c>
      <c r="D70" t="b">
        <v>0</v>
      </c>
      <c r="E70" t="s">
        <v>100</v>
      </c>
      <c r="F70" t="s">
        <v>599</v>
      </c>
      <c r="G70" t="s">
        <v>102</v>
      </c>
      <c r="H70" t="s">
        <v>103</v>
      </c>
      <c r="I70" t="s">
        <v>100</v>
      </c>
      <c r="J70" t="b">
        <v>0</v>
      </c>
      <c r="K70" s="41">
        <v>45926.701504629629</v>
      </c>
      <c r="N70">
        <v>0</v>
      </c>
      <c r="O70" s="41">
        <v>25568.791666666672</v>
      </c>
      <c r="P70" s="41">
        <v>45930.72923611111</v>
      </c>
      <c r="Q70" s="42">
        <v>4</v>
      </c>
      <c r="R70" t="s">
        <v>105</v>
      </c>
      <c r="S70" s="42">
        <v>4096</v>
      </c>
      <c r="T70">
        <v>163</v>
      </c>
      <c r="U70">
        <v>3</v>
      </c>
      <c r="V70">
        <v>1</v>
      </c>
      <c r="W70" s="42">
        <v>115712</v>
      </c>
      <c r="Y70" t="s">
        <v>229</v>
      </c>
      <c r="Z70" t="s">
        <v>106</v>
      </c>
      <c r="AC70" t="b">
        <v>1</v>
      </c>
      <c r="AD70" t="s">
        <v>600</v>
      </c>
      <c r="AE70" t="s">
        <v>1443</v>
      </c>
      <c r="AF70" t="s">
        <v>317</v>
      </c>
      <c r="AG70" t="s">
        <v>233</v>
      </c>
      <c r="AM70">
        <v>1</v>
      </c>
      <c r="AN70">
        <v>16384</v>
      </c>
      <c r="AO70" t="s">
        <v>1517</v>
      </c>
      <c r="AP70" t="s">
        <v>235</v>
      </c>
      <c r="AQ70" t="s">
        <v>236</v>
      </c>
      <c r="AS70" t="b">
        <v>1</v>
      </c>
      <c r="AT70" t="s">
        <v>113</v>
      </c>
      <c r="AV70" t="s">
        <v>104</v>
      </c>
      <c r="AW70">
        <v>-1</v>
      </c>
      <c r="AX70">
        <v>-1</v>
      </c>
      <c r="AZ70">
        <v>119947</v>
      </c>
      <c r="BA70">
        <v>119947</v>
      </c>
      <c r="BB70">
        <v>115712</v>
      </c>
      <c r="BC70" t="s">
        <v>114</v>
      </c>
      <c r="BD70" t="s">
        <v>115</v>
      </c>
      <c r="BE70" t="s">
        <v>116</v>
      </c>
      <c r="BH70" t="b">
        <v>0</v>
      </c>
      <c r="BI70">
        <v>0</v>
      </c>
      <c r="BJ70">
        <v>10000</v>
      </c>
      <c r="BK70" t="b">
        <v>0</v>
      </c>
      <c r="BL70" t="b">
        <v>0</v>
      </c>
      <c r="BN70" t="b">
        <v>0</v>
      </c>
      <c r="BO70" t="s">
        <v>117</v>
      </c>
      <c r="BP70">
        <v>19</v>
      </c>
      <c r="BQ70" t="s">
        <v>115</v>
      </c>
      <c r="BR70" t="s">
        <v>118</v>
      </c>
      <c r="BT70" t="s">
        <v>1648</v>
      </c>
      <c r="BU70" t="s">
        <v>1649</v>
      </c>
      <c r="BV70" t="s">
        <v>1649</v>
      </c>
      <c r="BW70" t="s">
        <v>1649</v>
      </c>
      <c r="BX70" t="s">
        <v>601</v>
      </c>
      <c r="BY70" t="s">
        <v>1650</v>
      </c>
      <c r="BZ70" t="s">
        <v>1651</v>
      </c>
      <c r="CH70" t="s">
        <v>121</v>
      </c>
      <c r="CI70" t="s">
        <v>239</v>
      </c>
      <c r="CJ70" t="s">
        <v>259</v>
      </c>
      <c r="CK70" t="s">
        <v>503</v>
      </c>
      <c r="CL70" t="s">
        <v>503</v>
      </c>
      <c r="CM70" t="s">
        <v>126</v>
      </c>
      <c r="CO70" t="s">
        <v>602</v>
      </c>
      <c r="CP70" t="s">
        <v>603</v>
      </c>
      <c r="CQ70" t="s">
        <v>604</v>
      </c>
      <c r="CR70" t="s">
        <v>1478</v>
      </c>
      <c r="CS70" t="s">
        <v>1331</v>
      </c>
      <c r="CT70" t="s">
        <v>130</v>
      </c>
      <c r="CU70" t="s">
        <v>131</v>
      </c>
    </row>
    <row r="71" spans="1:99">
      <c r="A71" t="s">
        <v>605</v>
      </c>
      <c r="B71" t="s">
        <v>99</v>
      </c>
      <c r="C71" t="b">
        <v>0</v>
      </c>
      <c r="D71" t="b">
        <v>0</v>
      </c>
      <c r="E71" t="s">
        <v>100</v>
      </c>
      <c r="F71" t="s">
        <v>606</v>
      </c>
      <c r="G71" t="s">
        <v>102</v>
      </c>
      <c r="H71" t="s">
        <v>103</v>
      </c>
      <c r="I71" t="s">
        <v>100</v>
      </c>
      <c r="J71" t="b">
        <v>0</v>
      </c>
      <c r="K71" s="41">
        <v>45926.672013888892</v>
      </c>
      <c r="N71">
        <v>0</v>
      </c>
      <c r="O71" s="41">
        <v>25568.791666666672</v>
      </c>
      <c r="P71" s="41">
        <v>45926.692349537043</v>
      </c>
      <c r="Q71" s="42">
        <v>4</v>
      </c>
      <c r="R71" t="s">
        <v>105</v>
      </c>
      <c r="S71" s="42">
        <v>16384</v>
      </c>
      <c r="T71">
        <v>163</v>
      </c>
      <c r="U71">
        <v>3</v>
      </c>
      <c r="V71">
        <v>1</v>
      </c>
      <c r="W71" s="42">
        <v>204800</v>
      </c>
      <c r="Y71" t="s">
        <v>229</v>
      </c>
      <c r="Z71" t="s">
        <v>106</v>
      </c>
      <c r="AC71" t="b">
        <v>1</v>
      </c>
      <c r="AD71" t="s">
        <v>607</v>
      </c>
      <c r="AE71" t="s">
        <v>1443</v>
      </c>
      <c r="AF71" t="s">
        <v>448</v>
      </c>
      <c r="AG71" t="s">
        <v>233</v>
      </c>
      <c r="AM71">
        <v>1</v>
      </c>
      <c r="AN71">
        <v>16384</v>
      </c>
      <c r="AO71" t="s">
        <v>1517</v>
      </c>
      <c r="AP71" t="s">
        <v>235</v>
      </c>
      <c r="AQ71" t="s">
        <v>236</v>
      </c>
      <c r="AS71" t="b">
        <v>1</v>
      </c>
      <c r="AT71" t="s">
        <v>113</v>
      </c>
      <c r="AV71" t="s">
        <v>104</v>
      </c>
      <c r="AW71">
        <v>-1</v>
      </c>
      <c r="AX71">
        <v>-1</v>
      </c>
      <c r="AZ71">
        <v>221327</v>
      </c>
      <c r="BA71">
        <v>221327</v>
      </c>
      <c r="BB71">
        <v>204800</v>
      </c>
      <c r="BC71" t="s">
        <v>114</v>
      </c>
      <c r="BD71" t="s">
        <v>115</v>
      </c>
      <c r="BE71" t="s">
        <v>116</v>
      </c>
      <c r="BH71" t="b">
        <v>0</v>
      </c>
      <c r="BI71">
        <v>0</v>
      </c>
      <c r="BJ71">
        <v>10000</v>
      </c>
      <c r="BK71" t="b">
        <v>0</v>
      </c>
      <c r="BL71" t="b">
        <v>0</v>
      </c>
      <c r="BN71" t="b">
        <v>0</v>
      </c>
      <c r="BO71" t="s">
        <v>117</v>
      </c>
      <c r="BP71">
        <v>19</v>
      </c>
      <c r="BQ71" t="s">
        <v>115</v>
      </c>
      <c r="BR71" t="s">
        <v>118</v>
      </c>
      <c r="BT71" t="s">
        <v>1652</v>
      </c>
      <c r="BU71" t="s">
        <v>1653</v>
      </c>
      <c r="BV71" t="s">
        <v>1653</v>
      </c>
      <c r="BW71" t="s">
        <v>1653</v>
      </c>
      <c r="BX71" t="s">
        <v>608</v>
      </c>
      <c r="BY71" t="s">
        <v>1654</v>
      </c>
      <c r="BZ71" t="s">
        <v>1655</v>
      </c>
      <c r="CH71" t="s">
        <v>121</v>
      </c>
      <c r="CI71" t="s">
        <v>239</v>
      </c>
      <c r="CJ71" t="s">
        <v>378</v>
      </c>
      <c r="CK71" t="s">
        <v>609</v>
      </c>
      <c r="CL71" t="s">
        <v>242</v>
      </c>
      <c r="CM71" t="s">
        <v>126</v>
      </c>
      <c r="CO71" t="s">
        <v>610</v>
      </c>
      <c r="CP71" t="s">
        <v>611</v>
      </c>
      <c r="CQ71" t="s">
        <v>612</v>
      </c>
      <c r="CR71" t="s">
        <v>1478</v>
      </c>
      <c r="CS71" t="s">
        <v>1331</v>
      </c>
      <c r="CT71" t="s">
        <v>130</v>
      </c>
      <c r="CU71" t="s">
        <v>131</v>
      </c>
    </row>
    <row r="72" spans="1:99">
      <c r="A72" t="s">
        <v>613</v>
      </c>
      <c r="B72" t="s">
        <v>99</v>
      </c>
      <c r="C72" t="b">
        <v>0</v>
      </c>
      <c r="D72" t="b">
        <v>0</v>
      </c>
      <c r="E72" t="s">
        <v>100</v>
      </c>
      <c r="F72" t="s">
        <v>614</v>
      </c>
      <c r="G72" t="s">
        <v>102</v>
      </c>
      <c r="H72" t="s">
        <v>103</v>
      </c>
      <c r="I72" t="s">
        <v>104</v>
      </c>
      <c r="J72" t="b">
        <v>0</v>
      </c>
      <c r="K72" s="41">
        <v>45930.729745370372</v>
      </c>
      <c r="N72">
        <v>0</v>
      </c>
      <c r="O72" s="41">
        <v>25568.791666666672</v>
      </c>
      <c r="P72" s="41">
        <v>45911.322071759263</v>
      </c>
      <c r="Q72" s="42">
        <v>2</v>
      </c>
      <c r="R72" t="s">
        <v>105</v>
      </c>
      <c r="S72" s="42">
        <v>4096</v>
      </c>
      <c r="T72">
        <v>327</v>
      </c>
      <c r="U72">
        <v>3</v>
      </c>
      <c r="V72">
        <v>2</v>
      </c>
      <c r="W72" s="42">
        <v>61440</v>
      </c>
      <c r="Y72" t="s">
        <v>229</v>
      </c>
      <c r="Z72" t="s">
        <v>106</v>
      </c>
      <c r="AC72" t="b">
        <v>1</v>
      </c>
      <c r="AD72" t="s">
        <v>615</v>
      </c>
      <c r="AE72" t="s">
        <v>448</v>
      </c>
      <c r="AF72" t="s">
        <v>1443</v>
      </c>
      <c r="AG72" t="s">
        <v>233</v>
      </c>
      <c r="AM72">
        <v>1</v>
      </c>
      <c r="AN72">
        <v>16384</v>
      </c>
      <c r="AO72" t="s">
        <v>1517</v>
      </c>
      <c r="AP72" t="s">
        <v>235</v>
      </c>
      <c r="AQ72" t="s">
        <v>236</v>
      </c>
      <c r="AS72" t="b">
        <v>1</v>
      </c>
      <c r="AT72" t="s">
        <v>113</v>
      </c>
      <c r="AV72" t="s">
        <v>104</v>
      </c>
      <c r="AW72">
        <v>-1</v>
      </c>
      <c r="AX72">
        <v>-1</v>
      </c>
      <c r="AZ72">
        <v>65656</v>
      </c>
      <c r="BA72">
        <v>65656</v>
      </c>
      <c r="BB72">
        <v>61440</v>
      </c>
      <c r="BC72" t="s">
        <v>114</v>
      </c>
      <c r="BD72" t="s">
        <v>115</v>
      </c>
      <c r="BE72" t="s">
        <v>116</v>
      </c>
      <c r="BH72" t="b">
        <v>0</v>
      </c>
      <c r="BI72">
        <v>0</v>
      </c>
      <c r="BJ72">
        <v>10000</v>
      </c>
      <c r="BK72" t="b">
        <v>0</v>
      </c>
      <c r="BL72" t="b">
        <v>0</v>
      </c>
      <c r="BN72" t="b">
        <v>0</v>
      </c>
      <c r="BO72" t="s">
        <v>117</v>
      </c>
      <c r="BP72">
        <v>19</v>
      </c>
      <c r="BQ72" t="s">
        <v>115</v>
      </c>
      <c r="BR72" t="s">
        <v>118</v>
      </c>
      <c r="BT72" t="s">
        <v>616</v>
      </c>
      <c r="BU72" t="s">
        <v>617</v>
      </c>
      <c r="BV72" t="s">
        <v>617</v>
      </c>
      <c r="BW72" t="s">
        <v>617</v>
      </c>
      <c r="BY72" t="s">
        <v>1656</v>
      </c>
      <c r="BZ72" t="s">
        <v>1657</v>
      </c>
      <c r="CH72" t="s">
        <v>121</v>
      </c>
      <c r="CI72" t="s">
        <v>239</v>
      </c>
      <c r="CJ72" t="s">
        <v>240</v>
      </c>
      <c r="CK72" t="s">
        <v>503</v>
      </c>
      <c r="CL72" t="s">
        <v>503</v>
      </c>
      <c r="CM72" t="s">
        <v>126</v>
      </c>
      <c r="CO72" t="s">
        <v>618</v>
      </c>
      <c r="CP72" t="s">
        <v>619</v>
      </c>
      <c r="CQ72" t="s">
        <v>620</v>
      </c>
      <c r="CR72" t="s">
        <v>1478</v>
      </c>
      <c r="CS72" t="s">
        <v>1331</v>
      </c>
      <c r="CT72" t="s">
        <v>130</v>
      </c>
      <c r="CU72" t="s">
        <v>131</v>
      </c>
    </row>
    <row r="73" spans="1:99">
      <c r="A73" t="s">
        <v>621</v>
      </c>
      <c r="B73" t="s">
        <v>99</v>
      </c>
      <c r="C73" t="b">
        <v>0</v>
      </c>
      <c r="D73" t="b">
        <v>0</v>
      </c>
      <c r="E73" t="s">
        <v>100</v>
      </c>
      <c r="G73" t="s">
        <v>102</v>
      </c>
      <c r="H73" t="s">
        <v>305</v>
      </c>
      <c r="I73" t="s">
        <v>104</v>
      </c>
      <c r="J73" t="b">
        <v>0</v>
      </c>
      <c r="K73" s="41">
        <v>45901.482870370368</v>
      </c>
      <c r="N73">
        <v>0</v>
      </c>
      <c r="O73" s="41">
        <v>44635.800740740742</v>
      </c>
      <c r="P73" s="41">
        <v>45930.252523148149</v>
      </c>
      <c r="Q73" s="42">
        <v>2</v>
      </c>
      <c r="R73" t="s">
        <v>105</v>
      </c>
      <c r="S73" s="42">
        <v>8192</v>
      </c>
      <c r="T73">
        <v>573</v>
      </c>
      <c r="U73">
        <v>3</v>
      </c>
      <c r="V73">
        <v>3</v>
      </c>
      <c r="W73" s="42">
        <v>204800</v>
      </c>
      <c r="Y73" t="s">
        <v>477</v>
      </c>
      <c r="Z73" t="s">
        <v>106</v>
      </c>
      <c r="AB73" t="b">
        <v>1</v>
      </c>
      <c r="AC73" t="b">
        <v>1</v>
      </c>
      <c r="AE73" t="s">
        <v>622</v>
      </c>
      <c r="AF73" t="s">
        <v>623</v>
      </c>
      <c r="AG73" t="s">
        <v>537</v>
      </c>
      <c r="AM73">
        <v>1</v>
      </c>
      <c r="AN73">
        <v>16384</v>
      </c>
      <c r="AO73" t="s">
        <v>482</v>
      </c>
      <c r="AP73" t="s">
        <v>235</v>
      </c>
      <c r="AQ73" t="s">
        <v>236</v>
      </c>
      <c r="AS73" t="b">
        <v>1</v>
      </c>
      <c r="AT73" t="s">
        <v>113</v>
      </c>
      <c r="AV73" t="s">
        <v>104</v>
      </c>
      <c r="AW73">
        <v>-1</v>
      </c>
      <c r="AX73">
        <v>-1</v>
      </c>
      <c r="AZ73">
        <v>213075</v>
      </c>
      <c r="BA73">
        <v>213075</v>
      </c>
      <c r="BB73">
        <v>204800</v>
      </c>
      <c r="BC73" t="s">
        <v>114</v>
      </c>
      <c r="BD73" t="s">
        <v>115</v>
      </c>
      <c r="BE73" t="s">
        <v>116</v>
      </c>
      <c r="BH73" t="b">
        <v>0</v>
      </c>
      <c r="BI73">
        <v>0</v>
      </c>
      <c r="BJ73">
        <v>10000</v>
      </c>
      <c r="BK73" t="b">
        <v>0</v>
      </c>
      <c r="BL73" t="b">
        <v>0</v>
      </c>
      <c r="BN73" t="b">
        <v>0</v>
      </c>
      <c r="BO73" t="s">
        <v>117</v>
      </c>
      <c r="BP73">
        <v>15</v>
      </c>
      <c r="BQ73" t="s">
        <v>115</v>
      </c>
      <c r="BR73" t="s">
        <v>118</v>
      </c>
      <c r="BT73" t="s">
        <v>624</v>
      </c>
      <c r="BU73" t="s">
        <v>625</v>
      </c>
      <c r="BV73" t="s">
        <v>625</v>
      </c>
      <c r="BW73" t="s">
        <v>625</v>
      </c>
      <c r="BX73" t="s">
        <v>626</v>
      </c>
      <c r="BY73" t="s">
        <v>1658</v>
      </c>
      <c r="BZ73" t="s">
        <v>1659</v>
      </c>
      <c r="CH73" t="s">
        <v>121</v>
      </c>
      <c r="CI73" t="s">
        <v>486</v>
      </c>
      <c r="CJ73" t="s">
        <v>847</v>
      </c>
      <c r="CK73" t="s">
        <v>627</v>
      </c>
      <c r="CM73" t="s">
        <v>126</v>
      </c>
      <c r="CO73" t="s">
        <v>628</v>
      </c>
      <c r="CP73" t="s">
        <v>629</v>
      </c>
      <c r="CQ73" t="s">
        <v>630</v>
      </c>
      <c r="CR73" t="s">
        <v>1478</v>
      </c>
      <c r="CS73" t="s">
        <v>1331</v>
      </c>
      <c r="CT73" t="s">
        <v>130</v>
      </c>
      <c r="CU73" t="s">
        <v>131</v>
      </c>
    </row>
    <row r="74" spans="1:99">
      <c r="A74" t="s">
        <v>631</v>
      </c>
      <c r="B74" t="s">
        <v>99</v>
      </c>
      <c r="C74" t="b">
        <v>0</v>
      </c>
      <c r="D74" t="b">
        <v>0</v>
      </c>
      <c r="E74" t="s">
        <v>100</v>
      </c>
      <c r="F74" t="s">
        <v>632</v>
      </c>
      <c r="G74" t="s">
        <v>102</v>
      </c>
      <c r="H74" t="s">
        <v>103</v>
      </c>
      <c r="I74" t="s">
        <v>100</v>
      </c>
      <c r="J74" t="b">
        <v>0</v>
      </c>
      <c r="K74" s="41">
        <v>45784.701423611114</v>
      </c>
      <c r="N74">
        <v>0</v>
      </c>
      <c r="O74" s="41">
        <v>25568.791666666672</v>
      </c>
      <c r="P74" s="41">
        <v>45882.643784722219</v>
      </c>
      <c r="Q74" s="42">
        <v>4</v>
      </c>
      <c r="S74" s="42">
        <v>4096</v>
      </c>
      <c r="T74">
        <v>491</v>
      </c>
      <c r="U74">
        <v>3</v>
      </c>
      <c r="V74">
        <v>3</v>
      </c>
      <c r="W74" s="42">
        <v>331776</v>
      </c>
      <c r="Y74" t="s">
        <v>492</v>
      </c>
      <c r="Z74" t="s">
        <v>106</v>
      </c>
      <c r="AC74" t="b">
        <v>1</v>
      </c>
      <c r="AD74" t="s">
        <v>633</v>
      </c>
      <c r="AE74" t="s">
        <v>494</v>
      </c>
      <c r="AF74" t="s">
        <v>495</v>
      </c>
      <c r="AG74" t="s">
        <v>496</v>
      </c>
      <c r="AM74">
        <v>1</v>
      </c>
      <c r="AN74">
        <v>0</v>
      </c>
      <c r="AO74" t="s">
        <v>1355</v>
      </c>
      <c r="AP74" t="s">
        <v>235</v>
      </c>
      <c r="AQ74" t="s">
        <v>236</v>
      </c>
      <c r="AS74" t="b">
        <v>1</v>
      </c>
      <c r="AT74" t="s">
        <v>113</v>
      </c>
      <c r="AV74" t="s">
        <v>104</v>
      </c>
      <c r="AW74">
        <v>-1</v>
      </c>
      <c r="AX74">
        <v>-1</v>
      </c>
      <c r="AZ74">
        <v>336045</v>
      </c>
      <c r="BA74">
        <v>336045</v>
      </c>
      <c r="BB74">
        <v>331776</v>
      </c>
      <c r="BC74" t="s">
        <v>114</v>
      </c>
      <c r="BD74" t="s">
        <v>115</v>
      </c>
      <c r="BE74" t="s">
        <v>116</v>
      </c>
      <c r="BH74" t="b">
        <v>0</v>
      </c>
      <c r="BI74">
        <v>0</v>
      </c>
      <c r="BJ74">
        <v>10000</v>
      </c>
      <c r="BK74" t="b">
        <v>0</v>
      </c>
      <c r="BL74" t="b">
        <v>0</v>
      </c>
      <c r="BN74" t="b">
        <v>0</v>
      </c>
      <c r="BO74" t="s">
        <v>117</v>
      </c>
      <c r="BP74">
        <v>13</v>
      </c>
      <c r="BQ74" t="s">
        <v>115</v>
      </c>
      <c r="BR74" t="s">
        <v>118</v>
      </c>
      <c r="BT74" t="s">
        <v>634</v>
      </c>
      <c r="BU74" t="s">
        <v>635</v>
      </c>
      <c r="BV74" t="s">
        <v>635</v>
      </c>
      <c r="BW74" t="s">
        <v>635</v>
      </c>
      <c r="BY74" t="s">
        <v>1660</v>
      </c>
      <c r="BZ74" t="s">
        <v>1661</v>
      </c>
      <c r="CH74" t="s">
        <v>121</v>
      </c>
      <c r="CI74" t="s">
        <v>501</v>
      </c>
      <c r="CJ74" t="s">
        <v>502</v>
      </c>
      <c r="CK74" t="s">
        <v>503</v>
      </c>
      <c r="CL74" t="s">
        <v>503</v>
      </c>
      <c r="CO74" t="s">
        <v>636</v>
      </c>
      <c r="CP74" t="s">
        <v>637</v>
      </c>
      <c r="CQ74" t="s">
        <v>638</v>
      </c>
      <c r="CR74" t="s">
        <v>1478</v>
      </c>
      <c r="CS74" t="s">
        <v>1331</v>
      </c>
      <c r="CT74" t="s">
        <v>130</v>
      </c>
      <c r="CU74" t="s">
        <v>131</v>
      </c>
    </row>
    <row r="75" spans="1:99">
      <c r="A75" t="s">
        <v>639</v>
      </c>
      <c r="B75" t="s">
        <v>99</v>
      </c>
      <c r="C75" t="b">
        <v>0</v>
      </c>
      <c r="D75" t="b">
        <v>0</v>
      </c>
      <c r="E75" t="s">
        <v>100</v>
      </c>
      <c r="F75" t="s">
        <v>640</v>
      </c>
      <c r="G75" t="s">
        <v>102</v>
      </c>
      <c r="H75" t="s">
        <v>103</v>
      </c>
      <c r="I75" t="s">
        <v>100</v>
      </c>
      <c r="J75" t="b">
        <v>0</v>
      </c>
      <c r="K75" s="41">
        <v>45897.645173611112</v>
      </c>
      <c r="N75">
        <v>0</v>
      </c>
      <c r="O75" s="41">
        <v>25568.791666666672</v>
      </c>
      <c r="P75" s="41">
        <v>45908.151331018518</v>
      </c>
      <c r="Q75" s="42">
        <v>4</v>
      </c>
      <c r="R75" t="s">
        <v>105</v>
      </c>
      <c r="S75" s="42">
        <v>8192</v>
      </c>
      <c r="T75">
        <v>327</v>
      </c>
      <c r="U75">
        <v>3</v>
      </c>
      <c r="V75">
        <v>3</v>
      </c>
      <c r="W75" s="42">
        <v>471040</v>
      </c>
      <c r="Y75" t="s">
        <v>229</v>
      </c>
      <c r="Z75" t="s">
        <v>106</v>
      </c>
      <c r="AB75" t="b">
        <v>1</v>
      </c>
      <c r="AC75" t="b">
        <v>1</v>
      </c>
      <c r="AD75" t="s">
        <v>641</v>
      </c>
      <c r="AE75" t="s">
        <v>448</v>
      </c>
      <c r="AF75" t="s">
        <v>1443</v>
      </c>
      <c r="AG75" t="s">
        <v>233</v>
      </c>
      <c r="AM75">
        <v>1</v>
      </c>
      <c r="AN75">
        <v>16384</v>
      </c>
      <c r="AO75" t="s">
        <v>1517</v>
      </c>
      <c r="AP75" t="s">
        <v>235</v>
      </c>
      <c r="AQ75" t="s">
        <v>236</v>
      </c>
      <c r="AS75" t="b">
        <v>1</v>
      </c>
      <c r="AT75" t="s">
        <v>113</v>
      </c>
      <c r="AV75" t="s">
        <v>104</v>
      </c>
      <c r="AW75">
        <v>-1</v>
      </c>
      <c r="AX75">
        <v>-1</v>
      </c>
      <c r="AZ75">
        <v>479493</v>
      </c>
      <c r="BA75">
        <v>479493</v>
      </c>
      <c r="BB75">
        <v>471040</v>
      </c>
      <c r="BC75" t="s">
        <v>114</v>
      </c>
      <c r="BD75" t="s">
        <v>115</v>
      </c>
      <c r="BE75" t="s">
        <v>116</v>
      </c>
      <c r="BH75" t="b">
        <v>0</v>
      </c>
      <c r="BI75">
        <v>0</v>
      </c>
      <c r="BJ75">
        <v>10000</v>
      </c>
      <c r="BK75" t="b">
        <v>0</v>
      </c>
      <c r="BL75" t="b">
        <v>0</v>
      </c>
      <c r="BN75" t="b">
        <v>0</v>
      </c>
      <c r="BO75" t="s">
        <v>117</v>
      </c>
      <c r="BP75">
        <v>19</v>
      </c>
      <c r="BQ75" t="s">
        <v>115</v>
      </c>
      <c r="BR75" t="s">
        <v>118</v>
      </c>
      <c r="BT75" t="s">
        <v>642</v>
      </c>
      <c r="BU75" t="s">
        <v>643</v>
      </c>
      <c r="BV75" t="s">
        <v>643</v>
      </c>
      <c r="BW75" t="s">
        <v>643</v>
      </c>
      <c r="BX75" t="s">
        <v>644</v>
      </c>
      <c r="BY75" t="s">
        <v>1662</v>
      </c>
      <c r="BZ75" t="s">
        <v>1663</v>
      </c>
      <c r="CH75" t="s">
        <v>121</v>
      </c>
      <c r="CI75" t="s">
        <v>239</v>
      </c>
      <c r="CJ75" t="s">
        <v>276</v>
      </c>
      <c r="CK75" t="s">
        <v>522</v>
      </c>
      <c r="CL75" t="s">
        <v>522</v>
      </c>
      <c r="CM75" t="s">
        <v>126</v>
      </c>
      <c r="CO75" t="s">
        <v>645</v>
      </c>
      <c r="CP75" t="s">
        <v>646</v>
      </c>
      <c r="CQ75" t="s">
        <v>647</v>
      </c>
      <c r="CR75" t="s">
        <v>1478</v>
      </c>
      <c r="CS75" t="s">
        <v>1331</v>
      </c>
      <c r="CT75" t="s">
        <v>130</v>
      </c>
      <c r="CU75" t="s">
        <v>131</v>
      </c>
    </row>
    <row r="76" spans="1:99" s="43" customFormat="1">
      <c r="A76" s="43" t="s">
        <v>1444</v>
      </c>
      <c r="B76" s="43" t="s">
        <v>304</v>
      </c>
      <c r="C76" s="43" t="b">
        <v>0</v>
      </c>
      <c r="D76" s="43" t="b">
        <v>0</v>
      </c>
      <c r="E76" s="43" t="s">
        <v>100</v>
      </c>
      <c r="F76" s="43" t="s">
        <v>1445</v>
      </c>
      <c r="G76" s="43" t="s">
        <v>102</v>
      </c>
      <c r="H76" s="43" t="s">
        <v>305</v>
      </c>
      <c r="I76" s="43" t="s">
        <v>104</v>
      </c>
      <c r="J76" s="43" t="b">
        <v>0</v>
      </c>
      <c r="N76" s="43">
        <v>0</v>
      </c>
      <c r="O76" s="44">
        <v>25568.791666666672</v>
      </c>
      <c r="P76" s="44">
        <v>45907.992465277777</v>
      </c>
      <c r="Q76" s="45">
        <v>4</v>
      </c>
      <c r="S76" s="45">
        <v>4096</v>
      </c>
      <c r="T76" s="43">
        <v>0</v>
      </c>
      <c r="U76" s="43">
        <v>3</v>
      </c>
      <c r="V76" s="43">
        <v>2</v>
      </c>
      <c r="W76" s="45">
        <v>133120</v>
      </c>
      <c r="Z76" s="43" t="s">
        <v>106</v>
      </c>
      <c r="AC76" s="43" t="b">
        <v>1</v>
      </c>
      <c r="AE76" s="43" t="s">
        <v>448</v>
      </c>
      <c r="AF76" s="43" t="s">
        <v>1443</v>
      </c>
      <c r="AG76" s="43" t="s">
        <v>233</v>
      </c>
      <c r="AM76" s="43">
        <v>1</v>
      </c>
      <c r="AN76" s="43">
        <v>4096</v>
      </c>
      <c r="AO76" s="43" t="s">
        <v>1517</v>
      </c>
      <c r="AP76" s="43" t="s">
        <v>235</v>
      </c>
      <c r="AQ76" s="43" t="s">
        <v>236</v>
      </c>
      <c r="AT76" s="43" t="s">
        <v>113</v>
      </c>
      <c r="AV76" s="43" t="s">
        <v>104</v>
      </c>
      <c r="AW76" s="43">
        <v>-1</v>
      </c>
      <c r="AX76" s="43">
        <v>-1</v>
      </c>
      <c r="AZ76" s="43">
        <v>137931</v>
      </c>
      <c r="BA76" s="43">
        <v>133206</v>
      </c>
      <c r="BB76" s="43">
        <v>133120</v>
      </c>
      <c r="BC76" s="43" t="s">
        <v>114</v>
      </c>
      <c r="BD76" s="43" t="s">
        <v>115</v>
      </c>
      <c r="BE76" s="43" t="s">
        <v>116</v>
      </c>
      <c r="BH76" s="43" t="b">
        <v>0</v>
      </c>
      <c r="BI76" s="43">
        <v>0</v>
      </c>
      <c r="BJ76" s="43">
        <v>10000</v>
      </c>
      <c r="BK76" s="43" t="b">
        <v>0</v>
      </c>
      <c r="BL76" s="43" t="b">
        <v>0</v>
      </c>
      <c r="BN76" s="43" t="b">
        <v>0</v>
      </c>
      <c r="BO76" s="43" t="s">
        <v>117</v>
      </c>
      <c r="BP76" s="43">
        <v>13</v>
      </c>
      <c r="BQ76" s="43" t="s">
        <v>115</v>
      </c>
      <c r="BR76" s="43" t="s">
        <v>118</v>
      </c>
      <c r="BT76" s="43" t="s">
        <v>1446</v>
      </c>
      <c r="BU76" s="43" t="s">
        <v>1447</v>
      </c>
      <c r="BV76" s="43" t="s">
        <v>1447</v>
      </c>
      <c r="BW76" s="43" t="s">
        <v>1447</v>
      </c>
      <c r="BX76" s="43" t="s">
        <v>1448</v>
      </c>
      <c r="BY76" s="43" t="s">
        <v>1664</v>
      </c>
      <c r="BZ76" s="43" t="s">
        <v>1665</v>
      </c>
      <c r="CH76" s="43" t="s">
        <v>121</v>
      </c>
      <c r="CI76" s="43" t="s">
        <v>239</v>
      </c>
      <c r="CJ76" s="43" t="s">
        <v>312</v>
      </c>
      <c r="CK76" s="43" t="s">
        <v>503</v>
      </c>
      <c r="CL76" s="43" t="s">
        <v>503</v>
      </c>
      <c r="CO76" s="43" t="s">
        <v>1449</v>
      </c>
      <c r="CP76" s="43" t="s">
        <v>1450</v>
      </c>
      <c r="CQ76" s="43" t="s">
        <v>1451</v>
      </c>
      <c r="CR76" s="43" t="s">
        <v>1478</v>
      </c>
      <c r="CS76" s="43" t="s">
        <v>1331</v>
      </c>
      <c r="CT76" s="43" t="s">
        <v>130</v>
      </c>
      <c r="CU76" s="43" t="s">
        <v>131</v>
      </c>
    </row>
    <row r="77" spans="1:99">
      <c r="A77" t="s">
        <v>648</v>
      </c>
      <c r="B77" t="s">
        <v>99</v>
      </c>
      <c r="C77" t="b">
        <v>0</v>
      </c>
      <c r="D77" t="b">
        <v>0</v>
      </c>
      <c r="E77" t="s">
        <v>100</v>
      </c>
      <c r="F77" t="s">
        <v>649</v>
      </c>
      <c r="G77" t="s">
        <v>102</v>
      </c>
      <c r="H77" t="s">
        <v>103</v>
      </c>
      <c r="I77" t="s">
        <v>100</v>
      </c>
      <c r="J77" t="b">
        <v>0</v>
      </c>
      <c r="K77" s="41">
        <v>45773.996354166673</v>
      </c>
      <c r="N77">
        <v>0</v>
      </c>
      <c r="O77" s="41">
        <v>25568.791666666672</v>
      </c>
      <c r="P77" s="41">
        <v>45922.728946759264</v>
      </c>
      <c r="Q77" s="42">
        <v>4</v>
      </c>
      <c r="S77" s="42">
        <v>12288</v>
      </c>
      <c r="T77">
        <v>860</v>
      </c>
      <c r="U77">
        <v>3</v>
      </c>
      <c r="V77">
        <v>2</v>
      </c>
      <c r="W77" s="42">
        <v>112640</v>
      </c>
      <c r="Y77" t="s">
        <v>492</v>
      </c>
      <c r="Z77" t="s">
        <v>106</v>
      </c>
      <c r="AB77" t="b">
        <v>1</v>
      </c>
      <c r="AC77" t="b">
        <v>1</v>
      </c>
      <c r="AD77" t="s">
        <v>650</v>
      </c>
      <c r="AE77" t="s">
        <v>495</v>
      </c>
      <c r="AF77" t="s">
        <v>651</v>
      </c>
      <c r="AG77" t="s">
        <v>496</v>
      </c>
      <c r="AM77">
        <v>1</v>
      </c>
      <c r="AN77">
        <v>0</v>
      </c>
      <c r="AO77" t="s">
        <v>1355</v>
      </c>
      <c r="AP77" t="s">
        <v>235</v>
      </c>
      <c r="AQ77" t="s">
        <v>236</v>
      </c>
      <c r="AS77" t="b">
        <v>1</v>
      </c>
      <c r="AT77" t="s">
        <v>113</v>
      </c>
      <c r="AV77" t="s">
        <v>104</v>
      </c>
      <c r="AW77">
        <v>-1</v>
      </c>
      <c r="AX77">
        <v>-1</v>
      </c>
      <c r="AZ77">
        <v>125157</v>
      </c>
      <c r="BA77">
        <v>125157</v>
      </c>
      <c r="BB77">
        <v>112640</v>
      </c>
      <c r="BC77" t="s">
        <v>114</v>
      </c>
      <c r="BD77" t="s">
        <v>115</v>
      </c>
      <c r="BE77" t="s">
        <v>116</v>
      </c>
      <c r="BH77" t="b">
        <v>0</v>
      </c>
      <c r="BI77">
        <v>0</v>
      </c>
      <c r="BJ77">
        <v>10000</v>
      </c>
      <c r="BK77" t="b">
        <v>0</v>
      </c>
      <c r="BL77" t="b">
        <v>0</v>
      </c>
      <c r="BN77" t="b">
        <v>0</v>
      </c>
      <c r="BO77" t="s">
        <v>117</v>
      </c>
      <c r="BP77">
        <v>13</v>
      </c>
      <c r="BQ77" t="s">
        <v>115</v>
      </c>
      <c r="BR77" t="s">
        <v>118</v>
      </c>
      <c r="BT77" t="s">
        <v>652</v>
      </c>
      <c r="BU77" t="s">
        <v>653</v>
      </c>
      <c r="BV77" t="s">
        <v>653</v>
      </c>
      <c r="BW77" t="s">
        <v>653</v>
      </c>
      <c r="BY77" t="s">
        <v>1666</v>
      </c>
      <c r="BZ77" t="s">
        <v>1667</v>
      </c>
      <c r="CA77" t="s">
        <v>654</v>
      </c>
      <c r="CH77" t="s">
        <v>121</v>
      </c>
      <c r="CI77" t="s">
        <v>501</v>
      </c>
      <c r="CJ77" t="s">
        <v>530</v>
      </c>
      <c r="CK77" t="s">
        <v>487</v>
      </c>
      <c r="CL77" t="s">
        <v>487</v>
      </c>
      <c r="CO77" t="s">
        <v>654</v>
      </c>
      <c r="CP77" t="s">
        <v>655</v>
      </c>
      <c r="CQ77" t="s">
        <v>656</v>
      </c>
      <c r="CR77" t="s">
        <v>1478</v>
      </c>
      <c r="CS77" t="s">
        <v>1331</v>
      </c>
      <c r="CT77" t="s">
        <v>130</v>
      </c>
      <c r="CU77" t="s">
        <v>131</v>
      </c>
    </row>
    <row r="78" spans="1:99">
      <c r="A78" t="s">
        <v>657</v>
      </c>
      <c r="B78" t="s">
        <v>99</v>
      </c>
      <c r="C78" t="b">
        <v>0</v>
      </c>
      <c r="D78" t="b">
        <v>0</v>
      </c>
      <c r="E78" t="s">
        <v>100</v>
      </c>
      <c r="F78" t="s">
        <v>658</v>
      </c>
      <c r="G78" t="s">
        <v>102</v>
      </c>
      <c r="H78" t="s">
        <v>103</v>
      </c>
      <c r="I78" t="s">
        <v>100</v>
      </c>
      <c r="J78" t="b">
        <v>0</v>
      </c>
      <c r="K78" s="41">
        <v>45926.698009259257</v>
      </c>
      <c r="N78">
        <v>0</v>
      </c>
      <c r="O78" s="41">
        <v>25568.791666666672</v>
      </c>
      <c r="P78" s="41">
        <v>45926.697997685187</v>
      </c>
      <c r="Q78" s="42">
        <v>4</v>
      </c>
      <c r="R78" t="s">
        <v>105</v>
      </c>
      <c r="S78" s="42">
        <v>8192</v>
      </c>
      <c r="T78">
        <v>573</v>
      </c>
      <c r="U78">
        <v>3</v>
      </c>
      <c r="V78">
        <v>2</v>
      </c>
      <c r="W78" s="42">
        <v>215040</v>
      </c>
      <c r="Y78" t="s">
        <v>229</v>
      </c>
      <c r="Z78" t="s">
        <v>106</v>
      </c>
      <c r="AB78" t="b">
        <v>1</v>
      </c>
      <c r="AC78" t="b">
        <v>1</v>
      </c>
      <c r="AD78" t="s">
        <v>659</v>
      </c>
      <c r="AE78" t="s">
        <v>1443</v>
      </c>
      <c r="AF78" t="s">
        <v>448</v>
      </c>
      <c r="AG78" t="s">
        <v>233</v>
      </c>
      <c r="AM78">
        <v>1</v>
      </c>
      <c r="AN78">
        <v>16384</v>
      </c>
      <c r="AO78" t="s">
        <v>1517</v>
      </c>
      <c r="AP78" t="s">
        <v>235</v>
      </c>
      <c r="AQ78" t="s">
        <v>236</v>
      </c>
      <c r="AS78" t="b">
        <v>1</v>
      </c>
      <c r="AT78" t="s">
        <v>113</v>
      </c>
      <c r="AV78" t="s">
        <v>104</v>
      </c>
      <c r="AW78">
        <v>-1</v>
      </c>
      <c r="AX78">
        <v>-1</v>
      </c>
      <c r="AZ78">
        <v>223388</v>
      </c>
      <c r="BA78">
        <v>223388</v>
      </c>
      <c r="BB78">
        <v>215040</v>
      </c>
      <c r="BC78" t="s">
        <v>114</v>
      </c>
      <c r="BD78" t="s">
        <v>115</v>
      </c>
      <c r="BE78" t="s">
        <v>116</v>
      </c>
      <c r="BH78" t="b">
        <v>0</v>
      </c>
      <c r="BI78">
        <v>0</v>
      </c>
      <c r="BJ78">
        <v>10000</v>
      </c>
      <c r="BK78" t="b">
        <v>0</v>
      </c>
      <c r="BL78" t="b">
        <v>0</v>
      </c>
      <c r="BN78" t="b">
        <v>0</v>
      </c>
      <c r="BO78" t="s">
        <v>117</v>
      </c>
      <c r="BP78">
        <v>19</v>
      </c>
      <c r="BQ78" t="s">
        <v>115</v>
      </c>
      <c r="BR78" t="s">
        <v>118</v>
      </c>
      <c r="BT78" t="s">
        <v>660</v>
      </c>
      <c r="BU78" t="s">
        <v>661</v>
      </c>
      <c r="BV78" t="s">
        <v>661</v>
      </c>
      <c r="BW78" t="s">
        <v>661</v>
      </c>
      <c r="BY78" t="s">
        <v>1668</v>
      </c>
      <c r="BZ78" t="s">
        <v>1669</v>
      </c>
      <c r="CH78" t="s">
        <v>121</v>
      </c>
      <c r="CI78" t="s">
        <v>239</v>
      </c>
      <c r="CJ78" t="s">
        <v>378</v>
      </c>
      <c r="CK78" t="s">
        <v>522</v>
      </c>
      <c r="CL78" t="s">
        <v>522</v>
      </c>
      <c r="CM78" t="s">
        <v>126</v>
      </c>
      <c r="CO78" t="s">
        <v>662</v>
      </c>
      <c r="CP78" t="s">
        <v>663</v>
      </c>
      <c r="CQ78" t="s">
        <v>664</v>
      </c>
      <c r="CR78" t="s">
        <v>1478</v>
      </c>
      <c r="CS78" t="s">
        <v>1331</v>
      </c>
      <c r="CT78" t="s">
        <v>130</v>
      </c>
      <c r="CU78" t="s">
        <v>131</v>
      </c>
    </row>
    <row r="79" spans="1:99">
      <c r="A79" t="s">
        <v>665</v>
      </c>
      <c r="B79" t="s">
        <v>99</v>
      </c>
      <c r="C79" t="b">
        <v>0</v>
      </c>
      <c r="D79" t="b">
        <v>0</v>
      </c>
      <c r="E79" t="s">
        <v>100</v>
      </c>
      <c r="F79" t="s">
        <v>666</v>
      </c>
      <c r="G79" t="s">
        <v>102</v>
      </c>
      <c r="H79" t="s">
        <v>103</v>
      </c>
      <c r="I79" t="s">
        <v>100</v>
      </c>
      <c r="J79" t="b">
        <v>0</v>
      </c>
      <c r="K79" s="41">
        <v>45773.994293981479</v>
      </c>
      <c r="N79">
        <v>0</v>
      </c>
      <c r="O79" s="41">
        <v>25568.791666666672</v>
      </c>
      <c r="P79" s="41">
        <v>45931.258344907408</v>
      </c>
      <c r="Q79" s="42">
        <v>4</v>
      </c>
      <c r="R79" t="s">
        <v>105</v>
      </c>
      <c r="S79" s="42">
        <v>2048</v>
      </c>
      <c r="T79">
        <v>614</v>
      </c>
      <c r="U79">
        <v>3</v>
      </c>
      <c r="V79">
        <v>1</v>
      </c>
      <c r="W79" s="42">
        <v>20480</v>
      </c>
      <c r="Y79" t="s">
        <v>477</v>
      </c>
      <c r="Z79" t="s">
        <v>106</v>
      </c>
      <c r="AC79" t="b">
        <v>1</v>
      </c>
      <c r="AD79" t="s">
        <v>667</v>
      </c>
      <c r="AE79" t="s">
        <v>668</v>
      </c>
      <c r="AF79" t="s">
        <v>480</v>
      </c>
      <c r="AG79" t="s">
        <v>481</v>
      </c>
      <c r="AM79">
        <v>1</v>
      </c>
      <c r="AN79">
        <v>16384</v>
      </c>
      <c r="AO79" t="s">
        <v>482</v>
      </c>
      <c r="AP79" t="s">
        <v>144</v>
      </c>
      <c r="AQ79" t="s">
        <v>145</v>
      </c>
      <c r="AS79" t="b">
        <v>1</v>
      </c>
      <c r="AT79" t="s">
        <v>113</v>
      </c>
      <c r="AV79" t="s">
        <v>104</v>
      </c>
      <c r="AW79">
        <v>-1</v>
      </c>
      <c r="AX79">
        <v>-1</v>
      </c>
      <c r="AZ79">
        <v>22613</v>
      </c>
      <c r="BA79">
        <v>22613</v>
      </c>
      <c r="BB79">
        <v>20480</v>
      </c>
      <c r="BC79" t="s">
        <v>114</v>
      </c>
      <c r="BD79" t="s">
        <v>115</v>
      </c>
      <c r="BE79" t="s">
        <v>116</v>
      </c>
      <c r="BH79" t="b">
        <v>0</v>
      </c>
      <c r="BI79">
        <v>0</v>
      </c>
      <c r="BJ79">
        <v>10000</v>
      </c>
      <c r="BK79" t="b">
        <v>0</v>
      </c>
      <c r="BL79" t="b">
        <v>0</v>
      </c>
      <c r="BN79" t="b">
        <v>0</v>
      </c>
      <c r="BO79" t="s">
        <v>117</v>
      </c>
      <c r="BP79">
        <v>14</v>
      </c>
      <c r="BQ79" t="s">
        <v>115</v>
      </c>
      <c r="BR79" t="s">
        <v>118</v>
      </c>
      <c r="BT79" t="s">
        <v>669</v>
      </c>
      <c r="BU79" t="s">
        <v>670</v>
      </c>
      <c r="BV79" t="s">
        <v>670</v>
      </c>
      <c r="BW79" t="s">
        <v>670</v>
      </c>
      <c r="BX79" t="s">
        <v>671</v>
      </c>
      <c r="BY79" t="s">
        <v>1670</v>
      </c>
      <c r="BZ79" t="s">
        <v>1671</v>
      </c>
      <c r="CA79" t="s">
        <v>672</v>
      </c>
      <c r="CH79" t="s">
        <v>121</v>
      </c>
      <c r="CI79" t="s">
        <v>486</v>
      </c>
      <c r="CJ79" t="s">
        <v>673</v>
      </c>
      <c r="CK79" t="s">
        <v>674</v>
      </c>
      <c r="CL79" t="s">
        <v>568</v>
      </c>
      <c r="CM79" t="s">
        <v>126</v>
      </c>
      <c r="CO79" t="s">
        <v>672</v>
      </c>
      <c r="CP79" t="s">
        <v>675</v>
      </c>
      <c r="CQ79" t="s">
        <v>676</v>
      </c>
      <c r="CR79" t="s">
        <v>1478</v>
      </c>
      <c r="CS79" t="s">
        <v>1331</v>
      </c>
      <c r="CT79" t="s">
        <v>130</v>
      </c>
      <c r="CU79" t="s">
        <v>131</v>
      </c>
    </row>
    <row r="80" spans="1:99">
      <c r="A80" t="s">
        <v>677</v>
      </c>
      <c r="B80" t="s">
        <v>99</v>
      </c>
      <c r="C80" t="b">
        <v>0</v>
      </c>
      <c r="D80" t="b">
        <v>0</v>
      </c>
      <c r="E80" t="s">
        <v>100</v>
      </c>
      <c r="F80" t="s">
        <v>678</v>
      </c>
      <c r="G80" t="s">
        <v>102</v>
      </c>
      <c r="H80" t="s">
        <v>103</v>
      </c>
      <c r="I80" t="s">
        <v>100</v>
      </c>
      <c r="J80" t="b">
        <v>0</v>
      </c>
      <c r="K80" s="41">
        <v>45926.701481481483</v>
      </c>
      <c r="N80">
        <v>0</v>
      </c>
      <c r="O80" s="41">
        <v>25568.791666666672</v>
      </c>
      <c r="P80" s="41">
        <v>45926.81523148148</v>
      </c>
      <c r="Q80" s="42">
        <v>2</v>
      </c>
      <c r="R80" t="s">
        <v>105</v>
      </c>
      <c r="S80" s="42">
        <v>8192</v>
      </c>
      <c r="T80">
        <v>491</v>
      </c>
      <c r="U80">
        <v>3</v>
      </c>
      <c r="V80">
        <v>2</v>
      </c>
      <c r="W80" s="42">
        <v>112640</v>
      </c>
      <c r="Y80" t="s">
        <v>229</v>
      </c>
      <c r="Z80" t="s">
        <v>106</v>
      </c>
      <c r="AB80" t="b">
        <v>1</v>
      </c>
      <c r="AC80" t="b">
        <v>1</v>
      </c>
      <c r="AD80" t="s">
        <v>1672</v>
      </c>
      <c r="AE80" t="s">
        <v>448</v>
      </c>
      <c r="AF80" t="s">
        <v>1443</v>
      </c>
      <c r="AG80" t="s">
        <v>233</v>
      </c>
      <c r="AM80">
        <v>1</v>
      </c>
      <c r="AN80">
        <v>16384</v>
      </c>
      <c r="AO80" t="s">
        <v>1517</v>
      </c>
      <c r="AP80" t="s">
        <v>235</v>
      </c>
      <c r="AQ80" t="s">
        <v>236</v>
      </c>
      <c r="AS80" t="b">
        <v>1</v>
      </c>
      <c r="AT80" t="s">
        <v>113</v>
      </c>
      <c r="AV80" t="s">
        <v>104</v>
      </c>
      <c r="AW80">
        <v>-1</v>
      </c>
      <c r="AX80">
        <v>-1</v>
      </c>
      <c r="AZ80">
        <v>120973</v>
      </c>
      <c r="BA80">
        <v>120973</v>
      </c>
      <c r="BB80">
        <v>112640</v>
      </c>
      <c r="BC80" t="s">
        <v>114</v>
      </c>
      <c r="BD80" t="s">
        <v>115</v>
      </c>
      <c r="BE80" t="s">
        <v>116</v>
      </c>
      <c r="BH80" t="b">
        <v>0</v>
      </c>
      <c r="BI80">
        <v>0</v>
      </c>
      <c r="BJ80">
        <v>10000</v>
      </c>
      <c r="BK80" t="b">
        <v>0</v>
      </c>
      <c r="BL80" t="b">
        <v>0</v>
      </c>
      <c r="BN80" t="b">
        <v>0</v>
      </c>
      <c r="BO80" t="s">
        <v>117</v>
      </c>
      <c r="BP80">
        <v>19</v>
      </c>
      <c r="BQ80" t="s">
        <v>115</v>
      </c>
      <c r="BR80" t="s">
        <v>118</v>
      </c>
      <c r="BT80" t="s">
        <v>1673</v>
      </c>
      <c r="BU80" t="s">
        <v>1674</v>
      </c>
      <c r="BV80" t="s">
        <v>1674</v>
      </c>
      <c r="BW80" t="s">
        <v>1674</v>
      </c>
      <c r="BY80" t="s">
        <v>1675</v>
      </c>
      <c r="BZ80" t="s">
        <v>1676</v>
      </c>
      <c r="CH80" t="s">
        <v>121</v>
      </c>
      <c r="CI80" t="s">
        <v>239</v>
      </c>
      <c r="CJ80" t="s">
        <v>378</v>
      </c>
      <c r="CK80" t="s">
        <v>487</v>
      </c>
      <c r="CL80" t="s">
        <v>487</v>
      </c>
      <c r="CM80" t="s">
        <v>126</v>
      </c>
      <c r="CO80" t="s">
        <v>679</v>
      </c>
      <c r="CP80" t="s">
        <v>680</v>
      </c>
      <c r="CQ80" t="s">
        <v>681</v>
      </c>
      <c r="CR80" t="s">
        <v>1478</v>
      </c>
      <c r="CS80" t="s">
        <v>1331</v>
      </c>
      <c r="CT80" t="s">
        <v>130</v>
      </c>
      <c r="CU80" t="s">
        <v>131</v>
      </c>
    </row>
    <row r="81" spans="1:99">
      <c r="A81" t="s">
        <v>682</v>
      </c>
      <c r="B81" t="s">
        <v>99</v>
      </c>
      <c r="C81" t="b">
        <v>0</v>
      </c>
      <c r="D81" t="b">
        <v>0</v>
      </c>
      <c r="E81" t="s">
        <v>100</v>
      </c>
      <c r="F81" t="s">
        <v>683</v>
      </c>
      <c r="G81" t="s">
        <v>102</v>
      </c>
      <c r="H81" t="s">
        <v>103</v>
      </c>
      <c r="I81" t="s">
        <v>100</v>
      </c>
      <c r="J81" t="b">
        <v>0</v>
      </c>
      <c r="K81" s="41">
        <v>45926.695509259262</v>
      </c>
      <c r="N81">
        <v>0</v>
      </c>
      <c r="O81" s="41">
        <v>25568.791666666672</v>
      </c>
      <c r="P81" s="41">
        <v>45930.680844907409</v>
      </c>
      <c r="Q81" s="42">
        <v>2</v>
      </c>
      <c r="R81" t="s">
        <v>105</v>
      </c>
      <c r="S81" s="42">
        <v>8192</v>
      </c>
      <c r="T81">
        <v>819</v>
      </c>
      <c r="U81">
        <v>3</v>
      </c>
      <c r="V81">
        <v>2</v>
      </c>
      <c r="W81" s="42">
        <v>389120</v>
      </c>
      <c r="Y81" t="s">
        <v>229</v>
      </c>
      <c r="Z81" t="s">
        <v>106</v>
      </c>
      <c r="AB81" t="b">
        <v>1</v>
      </c>
      <c r="AC81" t="b">
        <v>1</v>
      </c>
      <c r="AD81" t="s">
        <v>684</v>
      </c>
      <c r="AE81" t="s">
        <v>448</v>
      </c>
      <c r="AF81" t="s">
        <v>1443</v>
      </c>
      <c r="AG81" t="s">
        <v>233</v>
      </c>
      <c r="AM81">
        <v>1</v>
      </c>
      <c r="AN81">
        <v>16384</v>
      </c>
      <c r="AO81" t="s">
        <v>1517</v>
      </c>
      <c r="AP81" t="s">
        <v>235</v>
      </c>
      <c r="AQ81" t="s">
        <v>236</v>
      </c>
      <c r="AS81" t="b">
        <v>1</v>
      </c>
      <c r="AT81" t="s">
        <v>113</v>
      </c>
      <c r="AV81" t="s">
        <v>104</v>
      </c>
      <c r="AW81">
        <v>-1</v>
      </c>
      <c r="AX81">
        <v>-1</v>
      </c>
      <c r="AZ81">
        <v>397467</v>
      </c>
      <c r="BA81">
        <v>397467</v>
      </c>
      <c r="BB81">
        <v>389120</v>
      </c>
      <c r="BC81" t="s">
        <v>114</v>
      </c>
      <c r="BD81" t="s">
        <v>115</v>
      </c>
      <c r="BE81" t="s">
        <v>116</v>
      </c>
      <c r="BH81" t="b">
        <v>0</v>
      </c>
      <c r="BI81">
        <v>0</v>
      </c>
      <c r="BJ81">
        <v>10000</v>
      </c>
      <c r="BK81" t="b">
        <v>0</v>
      </c>
      <c r="BL81" t="b">
        <v>0</v>
      </c>
      <c r="BN81" t="b">
        <v>0</v>
      </c>
      <c r="BO81" t="s">
        <v>117</v>
      </c>
      <c r="BP81">
        <v>19</v>
      </c>
      <c r="BQ81" t="s">
        <v>115</v>
      </c>
      <c r="BR81" t="s">
        <v>118</v>
      </c>
      <c r="BT81" t="s">
        <v>1677</v>
      </c>
      <c r="BU81" t="s">
        <v>1678</v>
      </c>
      <c r="BV81" t="s">
        <v>1678</v>
      </c>
      <c r="BW81" t="s">
        <v>1678</v>
      </c>
      <c r="BY81" t="s">
        <v>1679</v>
      </c>
      <c r="BZ81" t="s">
        <v>1680</v>
      </c>
      <c r="CH81" t="s">
        <v>121</v>
      </c>
      <c r="CI81" t="s">
        <v>239</v>
      </c>
      <c r="CJ81" t="s">
        <v>1681</v>
      </c>
      <c r="CK81" t="s">
        <v>487</v>
      </c>
      <c r="CL81" t="s">
        <v>487</v>
      </c>
      <c r="CM81" t="s">
        <v>126</v>
      </c>
      <c r="CO81" t="s">
        <v>685</v>
      </c>
      <c r="CP81" t="s">
        <v>686</v>
      </c>
      <c r="CQ81" t="s">
        <v>687</v>
      </c>
      <c r="CR81" t="s">
        <v>1478</v>
      </c>
      <c r="CS81" t="s">
        <v>1331</v>
      </c>
      <c r="CT81" t="s">
        <v>130</v>
      </c>
      <c r="CU81" t="s">
        <v>131</v>
      </c>
    </row>
    <row r="82" spans="1:99">
      <c r="A82" t="s">
        <v>688</v>
      </c>
      <c r="B82" t="s">
        <v>99</v>
      </c>
      <c r="C82" t="b">
        <v>0</v>
      </c>
      <c r="D82" t="b">
        <v>0</v>
      </c>
      <c r="E82" t="s">
        <v>100</v>
      </c>
      <c r="F82" t="s">
        <v>689</v>
      </c>
      <c r="G82" t="s">
        <v>102</v>
      </c>
      <c r="H82" t="s">
        <v>103</v>
      </c>
      <c r="I82" t="s">
        <v>100</v>
      </c>
      <c r="J82" t="b">
        <v>0</v>
      </c>
      <c r="K82" s="41">
        <v>45926.699212962973</v>
      </c>
      <c r="N82">
        <v>0</v>
      </c>
      <c r="O82" s="41">
        <v>25568.791666666672</v>
      </c>
      <c r="P82" s="41">
        <v>45930.628703703696</v>
      </c>
      <c r="Q82" s="42">
        <v>2</v>
      </c>
      <c r="R82" t="s">
        <v>105</v>
      </c>
      <c r="S82" s="42">
        <v>4096</v>
      </c>
      <c r="T82">
        <v>450</v>
      </c>
      <c r="U82">
        <v>3</v>
      </c>
      <c r="V82">
        <v>4</v>
      </c>
      <c r="W82" s="42">
        <v>399360</v>
      </c>
      <c r="Y82" t="s">
        <v>229</v>
      </c>
      <c r="Z82" t="s">
        <v>106</v>
      </c>
      <c r="AB82" t="b">
        <v>1</v>
      </c>
      <c r="AC82" t="b">
        <v>1</v>
      </c>
      <c r="AD82" t="s">
        <v>1682</v>
      </c>
      <c r="AE82" t="s">
        <v>1443</v>
      </c>
      <c r="AF82" t="s">
        <v>448</v>
      </c>
      <c r="AG82" t="s">
        <v>233</v>
      </c>
      <c r="AM82">
        <v>1</v>
      </c>
      <c r="AN82">
        <v>16384</v>
      </c>
      <c r="AO82" t="s">
        <v>1517</v>
      </c>
      <c r="AP82" t="s">
        <v>235</v>
      </c>
      <c r="AQ82" t="s">
        <v>236</v>
      </c>
      <c r="AS82" t="b">
        <v>1</v>
      </c>
      <c r="AT82" t="s">
        <v>113</v>
      </c>
      <c r="AV82" t="s">
        <v>104</v>
      </c>
      <c r="AW82">
        <v>-1</v>
      </c>
      <c r="AX82">
        <v>-1</v>
      </c>
      <c r="AZ82">
        <v>403676</v>
      </c>
      <c r="BA82">
        <v>403676</v>
      </c>
      <c r="BB82">
        <v>399360</v>
      </c>
      <c r="BC82" t="s">
        <v>114</v>
      </c>
      <c r="BD82" t="s">
        <v>115</v>
      </c>
      <c r="BE82" t="s">
        <v>116</v>
      </c>
      <c r="BH82" t="b">
        <v>0</v>
      </c>
      <c r="BI82">
        <v>0</v>
      </c>
      <c r="BJ82">
        <v>10000</v>
      </c>
      <c r="BK82" t="b">
        <v>0</v>
      </c>
      <c r="BL82" t="b">
        <v>0</v>
      </c>
      <c r="BN82" t="b">
        <v>0</v>
      </c>
      <c r="BO82" t="s">
        <v>117</v>
      </c>
      <c r="BP82">
        <v>19</v>
      </c>
      <c r="BQ82" t="s">
        <v>115</v>
      </c>
      <c r="BR82" t="s">
        <v>118</v>
      </c>
      <c r="BT82" t="s">
        <v>690</v>
      </c>
      <c r="BU82" t="s">
        <v>691</v>
      </c>
      <c r="BV82" t="s">
        <v>691</v>
      </c>
      <c r="BW82" t="s">
        <v>691</v>
      </c>
      <c r="BY82" t="s">
        <v>1683</v>
      </c>
      <c r="BZ82" t="s">
        <v>1684</v>
      </c>
      <c r="CH82" t="s">
        <v>121</v>
      </c>
      <c r="CI82" t="s">
        <v>239</v>
      </c>
      <c r="CJ82" t="s">
        <v>1402</v>
      </c>
      <c r="CK82" t="s">
        <v>522</v>
      </c>
      <c r="CL82" t="s">
        <v>522</v>
      </c>
      <c r="CM82" t="s">
        <v>126</v>
      </c>
      <c r="CO82" t="s">
        <v>692</v>
      </c>
      <c r="CP82" t="s">
        <v>693</v>
      </c>
      <c r="CQ82" t="s">
        <v>694</v>
      </c>
      <c r="CR82" t="s">
        <v>1478</v>
      </c>
      <c r="CS82" t="s">
        <v>1331</v>
      </c>
      <c r="CT82" t="s">
        <v>130</v>
      </c>
      <c r="CU82" t="s">
        <v>131</v>
      </c>
    </row>
    <row r="83" spans="1:99">
      <c r="A83" t="s">
        <v>695</v>
      </c>
      <c r="B83" t="s">
        <v>99</v>
      </c>
      <c r="C83" t="b">
        <v>0</v>
      </c>
      <c r="D83" t="b">
        <v>0</v>
      </c>
      <c r="E83" t="s">
        <v>100</v>
      </c>
      <c r="F83" t="s">
        <v>696</v>
      </c>
      <c r="G83" t="s">
        <v>102</v>
      </c>
      <c r="H83" t="s">
        <v>103</v>
      </c>
      <c r="I83" t="s">
        <v>100</v>
      </c>
      <c r="J83" t="b">
        <v>0</v>
      </c>
      <c r="K83" s="41">
        <v>45926.710474537038</v>
      </c>
      <c r="N83">
        <v>0</v>
      </c>
      <c r="O83" s="41">
        <v>25568.791666666672</v>
      </c>
      <c r="P83" s="41">
        <v>45926.710474537038</v>
      </c>
      <c r="Q83" s="42">
        <v>4</v>
      </c>
      <c r="R83" t="s">
        <v>105</v>
      </c>
      <c r="S83" s="42">
        <v>8192</v>
      </c>
      <c r="T83">
        <v>573</v>
      </c>
      <c r="U83">
        <v>3</v>
      </c>
      <c r="V83">
        <v>4</v>
      </c>
      <c r="W83" s="42">
        <v>378880</v>
      </c>
      <c r="Y83" t="s">
        <v>229</v>
      </c>
      <c r="Z83" t="s">
        <v>106</v>
      </c>
      <c r="AB83" t="b">
        <v>1</v>
      </c>
      <c r="AC83" t="b">
        <v>1</v>
      </c>
      <c r="AD83" t="s">
        <v>697</v>
      </c>
      <c r="AE83" t="s">
        <v>1443</v>
      </c>
      <c r="AF83" t="s">
        <v>448</v>
      </c>
      <c r="AG83" t="s">
        <v>233</v>
      </c>
      <c r="AM83">
        <v>1</v>
      </c>
      <c r="AN83">
        <v>16384</v>
      </c>
      <c r="AO83" t="s">
        <v>1517</v>
      </c>
      <c r="AP83" t="s">
        <v>235</v>
      </c>
      <c r="AQ83" t="s">
        <v>236</v>
      </c>
      <c r="AS83" t="b">
        <v>1</v>
      </c>
      <c r="AT83" t="s">
        <v>113</v>
      </c>
      <c r="AV83" t="s">
        <v>104</v>
      </c>
      <c r="AW83">
        <v>-1</v>
      </c>
      <c r="AX83">
        <v>-1</v>
      </c>
      <c r="AZ83">
        <v>387458</v>
      </c>
      <c r="BA83">
        <v>387458</v>
      </c>
      <c r="BB83">
        <v>378880</v>
      </c>
      <c r="BC83" t="s">
        <v>114</v>
      </c>
      <c r="BD83" t="s">
        <v>115</v>
      </c>
      <c r="BE83" t="s">
        <v>116</v>
      </c>
      <c r="BH83" t="b">
        <v>0</v>
      </c>
      <c r="BI83">
        <v>0</v>
      </c>
      <c r="BJ83">
        <v>10000</v>
      </c>
      <c r="BK83" t="b">
        <v>0</v>
      </c>
      <c r="BL83" t="b">
        <v>0</v>
      </c>
      <c r="BN83" t="b">
        <v>0</v>
      </c>
      <c r="BO83" t="s">
        <v>117</v>
      </c>
      <c r="BP83">
        <v>19</v>
      </c>
      <c r="BQ83" t="s">
        <v>115</v>
      </c>
      <c r="BR83" t="s">
        <v>118</v>
      </c>
      <c r="BT83" t="s">
        <v>1452</v>
      </c>
      <c r="BU83" t="s">
        <v>1453</v>
      </c>
      <c r="BV83" t="s">
        <v>1453</v>
      </c>
      <c r="BW83" t="s">
        <v>1453</v>
      </c>
      <c r="BY83" t="s">
        <v>1685</v>
      </c>
      <c r="BZ83" t="s">
        <v>1686</v>
      </c>
      <c r="CH83" t="s">
        <v>121</v>
      </c>
      <c r="CI83" t="s">
        <v>239</v>
      </c>
      <c r="CJ83" t="s">
        <v>378</v>
      </c>
      <c r="CK83" t="s">
        <v>522</v>
      </c>
      <c r="CL83" t="s">
        <v>487</v>
      </c>
      <c r="CM83" t="s">
        <v>126</v>
      </c>
      <c r="CO83" t="s">
        <v>698</v>
      </c>
      <c r="CP83" t="s">
        <v>699</v>
      </c>
      <c r="CQ83" t="s">
        <v>700</v>
      </c>
      <c r="CR83" t="s">
        <v>1478</v>
      </c>
      <c r="CS83" t="s">
        <v>1331</v>
      </c>
      <c r="CT83" t="s">
        <v>130</v>
      </c>
      <c r="CU83" t="s">
        <v>131</v>
      </c>
    </row>
    <row r="84" spans="1:99">
      <c r="A84" t="s">
        <v>701</v>
      </c>
      <c r="B84" t="s">
        <v>99</v>
      </c>
      <c r="C84" t="b">
        <v>0</v>
      </c>
      <c r="D84" t="b">
        <v>0</v>
      </c>
      <c r="E84" t="s">
        <v>100</v>
      </c>
      <c r="F84" t="s">
        <v>702</v>
      </c>
      <c r="G84" t="s">
        <v>102</v>
      </c>
      <c r="H84" t="s">
        <v>103</v>
      </c>
      <c r="I84" t="s">
        <v>100</v>
      </c>
      <c r="J84" t="b">
        <v>0</v>
      </c>
      <c r="K84" s="41">
        <v>45926.675486111111</v>
      </c>
      <c r="N84">
        <v>0</v>
      </c>
      <c r="O84" s="41">
        <v>25568.791666666672</v>
      </c>
      <c r="P84" s="41">
        <v>45926.675081018519</v>
      </c>
      <c r="Q84" s="42">
        <v>2</v>
      </c>
      <c r="R84" t="s">
        <v>105</v>
      </c>
      <c r="S84" s="42">
        <v>8192</v>
      </c>
      <c r="T84">
        <v>245</v>
      </c>
      <c r="U84">
        <v>3</v>
      </c>
      <c r="V84">
        <v>2</v>
      </c>
      <c r="W84" s="42">
        <v>103424</v>
      </c>
      <c r="Y84" t="s">
        <v>229</v>
      </c>
      <c r="Z84" t="s">
        <v>106</v>
      </c>
      <c r="AC84" t="b">
        <v>1</v>
      </c>
      <c r="AD84" t="s">
        <v>1687</v>
      </c>
      <c r="AE84" t="s">
        <v>448</v>
      </c>
      <c r="AF84" t="s">
        <v>233</v>
      </c>
      <c r="AG84" t="s">
        <v>1443</v>
      </c>
      <c r="AM84">
        <v>1</v>
      </c>
      <c r="AN84">
        <v>16384</v>
      </c>
      <c r="AO84" t="s">
        <v>1517</v>
      </c>
      <c r="AP84" t="s">
        <v>235</v>
      </c>
      <c r="AQ84" t="s">
        <v>236</v>
      </c>
      <c r="AS84" t="b">
        <v>1</v>
      </c>
      <c r="AT84" t="s">
        <v>113</v>
      </c>
      <c r="AV84" t="s">
        <v>104</v>
      </c>
      <c r="AW84">
        <v>-1</v>
      </c>
      <c r="AX84">
        <v>-1</v>
      </c>
      <c r="AZ84">
        <v>111764</v>
      </c>
      <c r="BA84">
        <v>111764</v>
      </c>
      <c r="BB84">
        <v>103424</v>
      </c>
      <c r="BC84" t="s">
        <v>114</v>
      </c>
      <c r="BD84" t="s">
        <v>115</v>
      </c>
      <c r="BE84" t="s">
        <v>116</v>
      </c>
      <c r="BH84" t="b">
        <v>0</v>
      </c>
      <c r="BI84">
        <v>0</v>
      </c>
      <c r="BJ84">
        <v>10000</v>
      </c>
      <c r="BK84" t="b">
        <v>0</v>
      </c>
      <c r="BL84" t="b">
        <v>0</v>
      </c>
      <c r="BN84" t="b">
        <v>0</v>
      </c>
      <c r="BO84" t="s">
        <v>117</v>
      </c>
      <c r="BP84">
        <v>19</v>
      </c>
      <c r="BQ84" t="s">
        <v>115</v>
      </c>
      <c r="BR84" t="s">
        <v>118</v>
      </c>
      <c r="BT84" t="s">
        <v>704</v>
      </c>
      <c r="BU84" t="s">
        <v>705</v>
      </c>
      <c r="BV84" t="s">
        <v>705</v>
      </c>
      <c r="BW84" t="s">
        <v>705</v>
      </c>
      <c r="BY84" t="s">
        <v>1688</v>
      </c>
      <c r="BZ84" t="s">
        <v>1689</v>
      </c>
      <c r="CH84" t="s">
        <v>121</v>
      </c>
      <c r="CI84" t="s">
        <v>239</v>
      </c>
      <c r="CJ84" t="s">
        <v>378</v>
      </c>
      <c r="CK84" t="s">
        <v>674</v>
      </c>
      <c r="CL84" t="s">
        <v>567</v>
      </c>
      <c r="CM84" t="s">
        <v>126</v>
      </c>
      <c r="CO84" t="s">
        <v>706</v>
      </c>
      <c r="CP84" t="s">
        <v>707</v>
      </c>
      <c r="CQ84" t="s">
        <v>708</v>
      </c>
      <c r="CR84" t="s">
        <v>1478</v>
      </c>
      <c r="CS84" t="s">
        <v>1331</v>
      </c>
      <c r="CT84" t="s">
        <v>130</v>
      </c>
      <c r="CU84" t="s">
        <v>131</v>
      </c>
    </row>
    <row r="85" spans="1:99">
      <c r="A85" t="s">
        <v>709</v>
      </c>
      <c r="B85" t="s">
        <v>99</v>
      </c>
      <c r="C85" t="b">
        <v>0</v>
      </c>
      <c r="D85" t="b">
        <v>0</v>
      </c>
      <c r="E85" t="s">
        <v>100</v>
      </c>
      <c r="F85" t="s">
        <v>710</v>
      </c>
      <c r="G85" t="s">
        <v>102</v>
      </c>
      <c r="H85" t="s">
        <v>103</v>
      </c>
      <c r="I85" t="s">
        <v>100</v>
      </c>
      <c r="J85" t="b">
        <v>0</v>
      </c>
      <c r="K85" s="41">
        <v>45926.67690972222</v>
      </c>
      <c r="N85">
        <v>0</v>
      </c>
      <c r="O85" s="41">
        <v>44754.562638888892</v>
      </c>
      <c r="P85" s="41">
        <v>45926.676493055558</v>
      </c>
      <c r="Q85" s="42">
        <v>2</v>
      </c>
      <c r="R85" t="s">
        <v>105</v>
      </c>
      <c r="S85" s="42">
        <v>8192</v>
      </c>
      <c r="T85">
        <v>163</v>
      </c>
      <c r="U85">
        <v>3</v>
      </c>
      <c r="V85">
        <v>2</v>
      </c>
      <c r="W85" s="42">
        <v>103424</v>
      </c>
      <c r="Y85" t="s">
        <v>229</v>
      </c>
      <c r="Z85" t="s">
        <v>106</v>
      </c>
      <c r="AC85" t="b">
        <v>1</v>
      </c>
      <c r="AD85" t="s">
        <v>703</v>
      </c>
      <c r="AE85" t="s">
        <v>448</v>
      </c>
      <c r="AF85" t="s">
        <v>1443</v>
      </c>
      <c r="AG85" t="s">
        <v>233</v>
      </c>
      <c r="AM85">
        <v>1</v>
      </c>
      <c r="AN85">
        <v>16384</v>
      </c>
      <c r="AO85" t="s">
        <v>1517</v>
      </c>
      <c r="AP85" t="s">
        <v>235</v>
      </c>
      <c r="AQ85" t="s">
        <v>236</v>
      </c>
      <c r="AS85" t="b">
        <v>1</v>
      </c>
      <c r="AT85" t="s">
        <v>113</v>
      </c>
      <c r="AV85" t="s">
        <v>104</v>
      </c>
      <c r="AW85">
        <v>-1</v>
      </c>
      <c r="AX85">
        <v>-1</v>
      </c>
      <c r="AZ85">
        <v>111706</v>
      </c>
      <c r="BA85">
        <v>111706</v>
      </c>
      <c r="BB85">
        <v>103424</v>
      </c>
      <c r="BC85" t="s">
        <v>114</v>
      </c>
      <c r="BD85" t="s">
        <v>115</v>
      </c>
      <c r="BE85" t="s">
        <v>116</v>
      </c>
      <c r="BH85" t="b">
        <v>0</v>
      </c>
      <c r="BI85">
        <v>0</v>
      </c>
      <c r="BJ85">
        <v>10000</v>
      </c>
      <c r="BK85" t="b">
        <v>0</v>
      </c>
      <c r="BL85" t="b">
        <v>0</v>
      </c>
      <c r="BN85" t="b">
        <v>0</v>
      </c>
      <c r="BO85" t="s">
        <v>117</v>
      </c>
      <c r="BP85">
        <v>19</v>
      </c>
      <c r="BQ85" t="s">
        <v>115</v>
      </c>
      <c r="BR85" t="s">
        <v>118</v>
      </c>
      <c r="BT85" t="s">
        <v>711</v>
      </c>
      <c r="BU85" t="s">
        <v>712</v>
      </c>
      <c r="BV85" t="s">
        <v>712</v>
      </c>
      <c r="BW85" t="s">
        <v>712</v>
      </c>
      <c r="CH85" t="s">
        <v>121</v>
      </c>
      <c r="CI85" t="s">
        <v>239</v>
      </c>
      <c r="CJ85" t="s">
        <v>276</v>
      </c>
      <c r="CK85" t="s">
        <v>674</v>
      </c>
      <c r="CL85" t="s">
        <v>568</v>
      </c>
      <c r="CM85" t="s">
        <v>126</v>
      </c>
      <c r="CO85" t="s">
        <v>1690</v>
      </c>
      <c r="CP85" t="s">
        <v>713</v>
      </c>
      <c r="CQ85" t="s">
        <v>714</v>
      </c>
      <c r="CR85" t="s">
        <v>1478</v>
      </c>
      <c r="CS85" t="s">
        <v>1331</v>
      </c>
      <c r="CT85" t="s">
        <v>130</v>
      </c>
      <c r="CU85" t="s">
        <v>131</v>
      </c>
    </row>
    <row r="86" spans="1:99">
      <c r="A86" t="s">
        <v>715</v>
      </c>
      <c r="B86" t="s">
        <v>99</v>
      </c>
      <c r="C86" t="b">
        <v>0</v>
      </c>
      <c r="D86" t="b">
        <v>0</v>
      </c>
      <c r="E86" t="s">
        <v>100</v>
      </c>
      <c r="F86" t="s">
        <v>716</v>
      </c>
      <c r="G86" t="s">
        <v>102</v>
      </c>
      <c r="H86" t="s">
        <v>103</v>
      </c>
      <c r="I86" t="s">
        <v>100</v>
      </c>
      <c r="J86" t="b">
        <v>0</v>
      </c>
      <c r="K86" s="41">
        <v>45227.643750000003</v>
      </c>
      <c r="N86">
        <v>0</v>
      </c>
      <c r="O86" s="41">
        <v>25568.791666666672</v>
      </c>
      <c r="P86" s="41">
        <v>45227.64371527778</v>
      </c>
      <c r="Q86" s="42">
        <v>8</v>
      </c>
      <c r="S86" s="42">
        <v>32768</v>
      </c>
      <c r="T86">
        <v>1310</v>
      </c>
      <c r="U86">
        <v>3</v>
      </c>
      <c r="V86">
        <v>3</v>
      </c>
      <c r="W86" s="42">
        <v>1939456</v>
      </c>
      <c r="Y86" t="s">
        <v>492</v>
      </c>
      <c r="Z86" t="s">
        <v>106</v>
      </c>
      <c r="AB86" t="b">
        <v>1</v>
      </c>
      <c r="AC86" t="b">
        <v>1</v>
      </c>
      <c r="AD86" t="s">
        <v>717</v>
      </c>
      <c r="AE86" t="s">
        <v>494</v>
      </c>
      <c r="AF86" t="s">
        <v>495</v>
      </c>
      <c r="AG86" t="s">
        <v>496</v>
      </c>
      <c r="AM86">
        <v>1</v>
      </c>
      <c r="AN86">
        <v>0</v>
      </c>
      <c r="AO86" t="s">
        <v>1355</v>
      </c>
      <c r="AP86" t="s">
        <v>235</v>
      </c>
      <c r="AQ86" t="s">
        <v>236</v>
      </c>
      <c r="AS86" t="b">
        <v>1</v>
      </c>
      <c r="AT86" t="s">
        <v>113</v>
      </c>
      <c r="AV86" t="s">
        <v>104</v>
      </c>
      <c r="AW86">
        <v>-1</v>
      </c>
      <c r="AX86">
        <v>-1</v>
      </c>
      <c r="AZ86">
        <v>1972492</v>
      </c>
      <c r="BA86">
        <v>1972492</v>
      </c>
      <c r="BB86">
        <v>1939456</v>
      </c>
      <c r="BC86" t="s">
        <v>114</v>
      </c>
      <c r="BD86" t="s">
        <v>115</v>
      </c>
      <c r="BE86" t="s">
        <v>116</v>
      </c>
      <c r="BH86" t="b">
        <v>0</v>
      </c>
      <c r="BI86">
        <v>0</v>
      </c>
      <c r="BJ86">
        <v>10000</v>
      </c>
      <c r="BK86" t="b">
        <v>0</v>
      </c>
      <c r="BL86" t="b">
        <v>0</v>
      </c>
      <c r="BN86" t="b">
        <v>0</v>
      </c>
      <c r="BO86" t="s">
        <v>117</v>
      </c>
      <c r="BP86">
        <v>15</v>
      </c>
      <c r="BQ86" t="s">
        <v>115</v>
      </c>
      <c r="BR86" t="s">
        <v>118</v>
      </c>
      <c r="BT86" t="s">
        <v>718</v>
      </c>
      <c r="BU86" t="s">
        <v>719</v>
      </c>
      <c r="BV86" t="s">
        <v>719</v>
      </c>
      <c r="BW86" t="s">
        <v>719</v>
      </c>
      <c r="BX86" t="s">
        <v>720</v>
      </c>
      <c r="BY86" t="s">
        <v>1691</v>
      </c>
      <c r="BZ86" t="s">
        <v>1692</v>
      </c>
      <c r="CH86" t="s">
        <v>121</v>
      </c>
      <c r="CI86" t="s">
        <v>501</v>
      </c>
      <c r="CJ86" t="s">
        <v>550</v>
      </c>
      <c r="CK86" t="s">
        <v>487</v>
      </c>
      <c r="CL86" t="s">
        <v>487</v>
      </c>
      <c r="CO86" t="s">
        <v>721</v>
      </c>
      <c r="CP86" t="s">
        <v>722</v>
      </c>
      <c r="CQ86" t="s">
        <v>723</v>
      </c>
      <c r="CR86" t="s">
        <v>1478</v>
      </c>
      <c r="CS86" t="s">
        <v>1331</v>
      </c>
      <c r="CT86" t="s">
        <v>130</v>
      </c>
      <c r="CU86" t="s">
        <v>131</v>
      </c>
    </row>
    <row r="87" spans="1:99">
      <c r="A87" t="s">
        <v>724</v>
      </c>
      <c r="B87" t="s">
        <v>99</v>
      </c>
      <c r="C87" t="b">
        <v>0</v>
      </c>
      <c r="D87" t="b">
        <v>0</v>
      </c>
      <c r="E87" t="s">
        <v>100</v>
      </c>
      <c r="F87" t="s">
        <v>725</v>
      </c>
      <c r="G87" t="s">
        <v>102</v>
      </c>
      <c r="H87" t="s">
        <v>103</v>
      </c>
      <c r="I87" t="s">
        <v>100</v>
      </c>
      <c r="J87" t="b">
        <v>0</v>
      </c>
      <c r="K87" s="41">
        <v>45773.992638888893</v>
      </c>
      <c r="N87">
        <v>0</v>
      </c>
      <c r="O87" s="41">
        <v>25568.791666666672</v>
      </c>
      <c r="P87" s="41">
        <v>45773.992627314823</v>
      </c>
      <c r="Q87" s="42">
        <v>2</v>
      </c>
      <c r="S87" s="42">
        <v>8192</v>
      </c>
      <c r="T87">
        <v>1064</v>
      </c>
      <c r="U87">
        <v>3</v>
      </c>
      <c r="V87">
        <v>2</v>
      </c>
      <c r="W87" s="42">
        <v>204800</v>
      </c>
      <c r="Y87" t="s">
        <v>492</v>
      </c>
      <c r="Z87" t="s">
        <v>106</v>
      </c>
      <c r="AB87" t="b">
        <v>1</v>
      </c>
      <c r="AC87" t="b">
        <v>1</v>
      </c>
      <c r="AD87" t="s">
        <v>726</v>
      </c>
      <c r="AE87" t="s">
        <v>494</v>
      </c>
      <c r="AF87" t="s">
        <v>495</v>
      </c>
      <c r="AG87" t="s">
        <v>496</v>
      </c>
      <c r="AM87">
        <v>1</v>
      </c>
      <c r="AN87">
        <v>0</v>
      </c>
      <c r="AO87" t="s">
        <v>1355</v>
      </c>
      <c r="AP87" t="s">
        <v>235</v>
      </c>
      <c r="AQ87" t="s">
        <v>236</v>
      </c>
      <c r="AS87" t="b">
        <v>1</v>
      </c>
      <c r="AT87" t="s">
        <v>113</v>
      </c>
      <c r="AV87" t="s">
        <v>104</v>
      </c>
      <c r="AW87">
        <v>-1</v>
      </c>
      <c r="AX87">
        <v>-1</v>
      </c>
      <c r="AZ87">
        <v>213168</v>
      </c>
      <c r="BA87">
        <v>213168</v>
      </c>
      <c r="BB87">
        <v>204800</v>
      </c>
      <c r="BC87" t="s">
        <v>114</v>
      </c>
      <c r="BD87" t="s">
        <v>115</v>
      </c>
      <c r="BE87" t="s">
        <v>116</v>
      </c>
      <c r="BH87" t="b">
        <v>0</v>
      </c>
      <c r="BI87">
        <v>0</v>
      </c>
      <c r="BJ87">
        <v>10000</v>
      </c>
      <c r="BK87" t="b">
        <v>0</v>
      </c>
      <c r="BL87" t="b">
        <v>0</v>
      </c>
      <c r="BN87" t="b">
        <v>0</v>
      </c>
      <c r="BO87" t="s">
        <v>117</v>
      </c>
      <c r="BP87">
        <v>13</v>
      </c>
      <c r="BQ87" t="s">
        <v>115</v>
      </c>
      <c r="BR87" t="s">
        <v>118</v>
      </c>
      <c r="BT87" t="s">
        <v>727</v>
      </c>
      <c r="BU87" t="s">
        <v>728</v>
      </c>
      <c r="BV87" t="s">
        <v>728</v>
      </c>
      <c r="BW87" t="s">
        <v>728</v>
      </c>
      <c r="BY87" t="s">
        <v>1693</v>
      </c>
      <c r="BZ87" t="s">
        <v>1694</v>
      </c>
      <c r="CH87" t="s">
        <v>121</v>
      </c>
      <c r="CI87" t="s">
        <v>501</v>
      </c>
      <c r="CJ87" t="s">
        <v>502</v>
      </c>
      <c r="CK87" t="s">
        <v>487</v>
      </c>
      <c r="CL87" t="s">
        <v>487</v>
      </c>
      <c r="CO87" t="s">
        <v>729</v>
      </c>
      <c r="CP87" t="s">
        <v>730</v>
      </c>
      <c r="CQ87" t="s">
        <v>731</v>
      </c>
      <c r="CR87" t="s">
        <v>1478</v>
      </c>
      <c r="CS87" t="s">
        <v>1331</v>
      </c>
      <c r="CT87" t="s">
        <v>130</v>
      </c>
      <c r="CU87" t="s">
        <v>131</v>
      </c>
    </row>
    <row r="88" spans="1:99">
      <c r="A88" t="s">
        <v>732</v>
      </c>
      <c r="B88" t="s">
        <v>99</v>
      </c>
      <c r="C88" t="b">
        <v>0</v>
      </c>
      <c r="D88" t="b">
        <v>0</v>
      </c>
      <c r="E88" t="s">
        <v>100</v>
      </c>
      <c r="F88" t="s">
        <v>733</v>
      </c>
      <c r="G88" t="s">
        <v>102</v>
      </c>
      <c r="H88" t="s">
        <v>103</v>
      </c>
      <c r="I88" t="s">
        <v>104</v>
      </c>
      <c r="J88" t="b">
        <v>0</v>
      </c>
      <c r="K88" s="41">
        <v>45897.60633101852</v>
      </c>
      <c r="N88">
        <v>0</v>
      </c>
      <c r="O88" s="41">
        <v>45102.344131944446</v>
      </c>
      <c r="P88" s="41">
        <v>45925.369189814817</v>
      </c>
      <c r="Q88" s="42">
        <v>8</v>
      </c>
      <c r="R88" t="s">
        <v>105</v>
      </c>
      <c r="S88" s="42">
        <v>8192</v>
      </c>
      <c r="T88">
        <v>655</v>
      </c>
      <c r="U88">
        <v>3</v>
      </c>
      <c r="V88">
        <v>2</v>
      </c>
      <c r="W88" s="42">
        <v>204800</v>
      </c>
      <c r="Y88" t="s">
        <v>229</v>
      </c>
      <c r="Z88" t="s">
        <v>106</v>
      </c>
      <c r="AB88" t="b">
        <v>1</v>
      </c>
      <c r="AC88" t="b">
        <v>1</v>
      </c>
      <c r="AD88" t="s">
        <v>734</v>
      </c>
      <c r="AE88" t="s">
        <v>1443</v>
      </c>
      <c r="AF88" t="s">
        <v>448</v>
      </c>
      <c r="AG88" t="s">
        <v>233</v>
      </c>
      <c r="AM88">
        <v>1</v>
      </c>
      <c r="AN88">
        <v>16384</v>
      </c>
      <c r="AO88" t="s">
        <v>1517</v>
      </c>
      <c r="AP88" t="s">
        <v>144</v>
      </c>
      <c r="AQ88" t="s">
        <v>145</v>
      </c>
      <c r="AS88" t="b">
        <v>1</v>
      </c>
      <c r="AT88" t="s">
        <v>113</v>
      </c>
      <c r="AV88" t="s">
        <v>104</v>
      </c>
      <c r="AW88">
        <v>-1</v>
      </c>
      <c r="AX88">
        <v>-1</v>
      </c>
      <c r="AZ88">
        <v>213106</v>
      </c>
      <c r="BA88">
        <v>213106</v>
      </c>
      <c r="BB88">
        <v>204800</v>
      </c>
      <c r="BC88" t="s">
        <v>114</v>
      </c>
      <c r="BD88" t="s">
        <v>115</v>
      </c>
      <c r="BE88" t="s">
        <v>116</v>
      </c>
      <c r="BH88" t="b">
        <v>0</v>
      </c>
      <c r="BI88">
        <v>0</v>
      </c>
      <c r="BJ88">
        <v>10000</v>
      </c>
      <c r="BK88" t="b">
        <v>0</v>
      </c>
      <c r="BL88" t="b">
        <v>0</v>
      </c>
      <c r="BN88" t="b">
        <v>0</v>
      </c>
      <c r="BO88" t="s">
        <v>117</v>
      </c>
      <c r="BP88">
        <v>19</v>
      </c>
      <c r="BQ88" t="s">
        <v>115</v>
      </c>
      <c r="BR88" t="s">
        <v>118</v>
      </c>
      <c r="BT88" t="s">
        <v>1381</v>
      </c>
      <c r="BU88" t="s">
        <v>1382</v>
      </c>
      <c r="BV88" t="s">
        <v>1382</v>
      </c>
      <c r="BW88" t="s">
        <v>1382</v>
      </c>
      <c r="BY88" t="s">
        <v>1454</v>
      </c>
      <c r="BZ88" t="s">
        <v>1455</v>
      </c>
      <c r="CH88" t="s">
        <v>121</v>
      </c>
      <c r="CI88" t="s">
        <v>239</v>
      </c>
      <c r="CJ88" t="s">
        <v>240</v>
      </c>
      <c r="CK88" t="s">
        <v>487</v>
      </c>
      <c r="CL88" t="s">
        <v>487</v>
      </c>
      <c r="CM88" t="s">
        <v>126</v>
      </c>
      <c r="CO88" t="s">
        <v>735</v>
      </c>
      <c r="CP88" t="s">
        <v>736</v>
      </c>
      <c r="CQ88" t="s">
        <v>737</v>
      </c>
      <c r="CR88" t="s">
        <v>1478</v>
      </c>
      <c r="CS88" t="s">
        <v>1331</v>
      </c>
      <c r="CT88" t="s">
        <v>130</v>
      </c>
      <c r="CU88" t="s">
        <v>131</v>
      </c>
    </row>
    <row r="89" spans="1:99">
      <c r="A89" t="s">
        <v>738</v>
      </c>
      <c r="B89" t="s">
        <v>99</v>
      </c>
      <c r="C89" t="b">
        <v>0</v>
      </c>
      <c r="D89" t="b">
        <v>0</v>
      </c>
      <c r="E89" t="s">
        <v>100</v>
      </c>
      <c r="F89" t="s">
        <v>739</v>
      </c>
      <c r="G89" t="s">
        <v>102</v>
      </c>
      <c r="H89" t="s">
        <v>103</v>
      </c>
      <c r="I89" t="s">
        <v>100</v>
      </c>
      <c r="J89" t="b">
        <v>0</v>
      </c>
      <c r="K89" s="41">
        <v>45864.482060185182</v>
      </c>
      <c r="N89">
        <v>0</v>
      </c>
      <c r="O89" s="41">
        <v>25568.791666666672</v>
      </c>
      <c r="P89" s="41">
        <v>45864.482060185182</v>
      </c>
      <c r="Q89" s="42">
        <v>8</v>
      </c>
      <c r="S89" s="42">
        <v>8192</v>
      </c>
      <c r="T89">
        <v>1064</v>
      </c>
      <c r="U89">
        <v>3</v>
      </c>
      <c r="V89">
        <v>2</v>
      </c>
      <c r="W89" s="42">
        <v>204800</v>
      </c>
      <c r="Y89" t="s">
        <v>492</v>
      </c>
      <c r="Z89" t="s">
        <v>106</v>
      </c>
      <c r="AB89" t="b">
        <v>1</v>
      </c>
      <c r="AC89" t="b">
        <v>1</v>
      </c>
      <c r="AD89" t="s">
        <v>740</v>
      </c>
      <c r="AE89" t="s">
        <v>494</v>
      </c>
      <c r="AF89" t="s">
        <v>495</v>
      </c>
      <c r="AG89" t="s">
        <v>496</v>
      </c>
      <c r="AM89">
        <v>1</v>
      </c>
      <c r="AN89">
        <v>0</v>
      </c>
      <c r="AO89" t="s">
        <v>1355</v>
      </c>
      <c r="AP89" t="s">
        <v>235</v>
      </c>
      <c r="AQ89" t="s">
        <v>236</v>
      </c>
      <c r="AS89" t="b">
        <v>1</v>
      </c>
      <c r="AT89" t="s">
        <v>113</v>
      </c>
      <c r="AV89" t="s">
        <v>104</v>
      </c>
      <c r="AW89">
        <v>-1</v>
      </c>
      <c r="AX89">
        <v>-1</v>
      </c>
      <c r="AZ89">
        <v>213250</v>
      </c>
      <c r="BA89">
        <v>213250</v>
      </c>
      <c r="BB89">
        <v>204800</v>
      </c>
      <c r="BC89" t="s">
        <v>114</v>
      </c>
      <c r="BD89" t="s">
        <v>115</v>
      </c>
      <c r="BE89" t="s">
        <v>116</v>
      </c>
      <c r="BH89" t="b">
        <v>0</v>
      </c>
      <c r="BI89">
        <v>0</v>
      </c>
      <c r="BJ89">
        <v>10000</v>
      </c>
      <c r="BK89" t="b">
        <v>0</v>
      </c>
      <c r="BL89" t="b">
        <v>0</v>
      </c>
      <c r="BN89" t="b">
        <v>0</v>
      </c>
      <c r="BO89" t="s">
        <v>117</v>
      </c>
      <c r="BP89">
        <v>13</v>
      </c>
      <c r="BQ89" t="s">
        <v>115</v>
      </c>
      <c r="BR89" t="s">
        <v>118</v>
      </c>
      <c r="BT89" t="s">
        <v>1383</v>
      </c>
      <c r="BU89" t="s">
        <v>1384</v>
      </c>
      <c r="BV89" t="s">
        <v>1384</v>
      </c>
      <c r="BW89" t="s">
        <v>1384</v>
      </c>
      <c r="BY89" t="s">
        <v>1695</v>
      </c>
      <c r="BZ89" t="s">
        <v>1696</v>
      </c>
      <c r="CH89" t="s">
        <v>121</v>
      </c>
      <c r="CI89" t="s">
        <v>501</v>
      </c>
      <c r="CJ89" t="s">
        <v>566</v>
      </c>
      <c r="CK89" t="s">
        <v>487</v>
      </c>
      <c r="CL89" t="s">
        <v>487</v>
      </c>
      <c r="CO89" t="s">
        <v>741</v>
      </c>
      <c r="CP89" t="s">
        <v>742</v>
      </c>
      <c r="CQ89" t="s">
        <v>743</v>
      </c>
      <c r="CR89" t="s">
        <v>1478</v>
      </c>
      <c r="CS89" t="s">
        <v>1331</v>
      </c>
      <c r="CT89" t="s">
        <v>130</v>
      </c>
      <c r="CU89" t="s">
        <v>131</v>
      </c>
    </row>
    <row r="90" spans="1:99">
      <c r="A90" t="s">
        <v>744</v>
      </c>
      <c r="B90" t="s">
        <v>99</v>
      </c>
      <c r="C90" t="b">
        <v>0</v>
      </c>
      <c r="D90" t="b">
        <v>0</v>
      </c>
      <c r="E90" t="s">
        <v>100</v>
      </c>
      <c r="F90" t="s">
        <v>745</v>
      </c>
      <c r="G90" t="s">
        <v>102</v>
      </c>
      <c r="H90" t="s">
        <v>103</v>
      </c>
      <c r="I90" t="s">
        <v>100</v>
      </c>
      <c r="J90" t="b">
        <v>0</v>
      </c>
      <c r="N90">
        <v>0</v>
      </c>
      <c r="O90" s="41">
        <v>25568.791666666672</v>
      </c>
      <c r="P90" s="41">
        <v>45908.838576388887</v>
      </c>
      <c r="Q90" s="42">
        <v>8</v>
      </c>
      <c r="S90" s="42">
        <v>4096</v>
      </c>
      <c r="T90">
        <v>163</v>
      </c>
      <c r="U90">
        <v>3</v>
      </c>
      <c r="V90">
        <v>2</v>
      </c>
      <c r="W90" s="42">
        <v>153600</v>
      </c>
      <c r="Y90" t="s">
        <v>492</v>
      </c>
      <c r="Z90" t="s">
        <v>106</v>
      </c>
      <c r="AC90" t="b">
        <v>1</v>
      </c>
      <c r="AD90" t="s">
        <v>746</v>
      </c>
      <c r="AE90" t="s">
        <v>494</v>
      </c>
      <c r="AF90" t="s">
        <v>495</v>
      </c>
      <c r="AG90" t="s">
        <v>496</v>
      </c>
      <c r="AM90">
        <v>1</v>
      </c>
      <c r="AN90">
        <v>0</v>
      </c>
      <c r="AO90" t="s">
        <v>1355</v>
      </c>
      <c r="AP90" t="s">
        <v>235</v>
      </c>
      <c r="AQ90" t="s">
        <v>236</v>
      </c>
      <c r="AS90" t="b">
        <v>1</v>
      </c>
      <c r="AT90" t="s">
        <v>113</v>
      </c>
      <c r="AV90" t="s">
        <v>104</v>
      </c>
      <c r="AW90">
        <v>-1</v>
      </c>
      <c r="AX90">
        <v>-1</v>
      </c>
      <c r="AZ90">
        <v>157836</v>
      </c>
      <c r="BA90">
        <v>157836</v>
      </c>
      <c r="BB90">
        <v>153600</v>
      </c>
      <c r="BC90" t="s">
        <v>114</v>
      </c>
      <c r="BD90" t="s">
        <v>115</v>
      </c>
      <c r="BE90" t="s">
        <v>116</v>
      </c>
      <c r="BH90" t="b">
        <v>0</v>
      </c>
      <c r="BI90">
        <v>0</v>
      </c>
      <c r="BJ90">
        <v>10000</v>
      </c>
      <c r="BK90" t="b">
        <v>0</v>
      </c>
      <c r="BL90" t="b">
        <v>0</v>
      </c>
      <c r="BN90" t="b">
        <v>0</v>
      </c>
      <c r="BO90" t="s">
        <v>117</v>
      </c>
      <c r="BP90">
        <v>13</v>
      </c>
      <c r="BQ90" t="s">
        <v>115</v>
      </c>
      <c r="BR90" t="s">
        <v>118</v>
      </c>
      <c r="BT90" t="s">
        <v>1697</v>
      </c>
      <c r="BU90" t="s">
        <v>1698</v>
      </c>
      <c r="BV90" t="s">
        <v>1698</v>
      </c>
      <c r="BW90" t="s">
        <v>1698</v>
      </c>
      <c r="CH90" t="s">
        <v>121</v>
      </c>
      <c r="CI90" t="s">
        <v>501</v>
      </c>
      <c r="CJ90" t="s">
        <v>550</v>
      </c>
      <c r="CK90" t="s">
        <v>568</v>
      </c>
      <c r="CL90" t="s">
        <v>568</v>
      </c>
      <c r="CO90" t="s">
        <v>747</v>
      </c>
      <c r="CP90" t="s">
        <v>748</v>
      </c>
      <c r="CQ90" t="s">
        <v>749</v>
      </c>
      <c r="CR90" t="s">
        <v>1478</v>
      </c>
      <c r="CS90" t="s">
        <v>1331</v>
      </c>
      <c r="CT90" t="s">
        <v>130</v>
      </c>
      <c r="CU90" t="s">
        <v>131</v>
      </c>
    </row>
    <row r="91" spans="1:99">
      <c r="A91" t="s">
        <v>750</v>
      </c>
      <c r="B91" t="s">
        <v>99</v>
      </c>
      <c r="C91" t="b">
        <v>0</v>
      </c>
      <c r="D91" t="b">
        <v>0</v>
      </c>
      <c r="E91" t="s">
        <v>100</v>
      </c>
      <c r="F91" t="s">
        <v>751</v>
      </c>
      <c r="G91" t="s">
        <v>102</v>
      </c>
      <c r="H91" t="s">
        <v>103</v>
      </c>
      <c r="I91" t="s">
        <v>100</v>
      </c>
      <c r="J91" t="b">
        <v>0</v>
      </c>
      <c r="K91" s="41">
        <v>45773.993263888893</v>
      </c>
      <c r="N91">
        <v>0</v>
      </c>
      <c r="O91" s="41">
        <v>25568.791666666672</v>
      </c>
      <c r="P91" s="41">
        <v>45921.025347222218</v>
      </c>
      <c r="Q91" s="42">
        <v>4</v>
      </c>
      <c r="R91" t="s">
        <v>105</v>
      </c>
      <c r="S91" s="42">
        <v>20480</v>
      </c>
      <c r="T91">
        <v>614</v>
      </c>
      <c r="U91">
        <v>3</v>
      </c>
      <c r="V91">
        <v>9</v>
      </c>
      <c r="W91" s="42">
        <v>10207232</v>
      </c>
      <c r="Y91" t="s">
        <v>477</v>
      </c>
      <c r="Z91" t="s">
        <v>106</v>
      </c>
      <c r="AC91" t="b">
        <v>1</v>
      </c>
      <c r="AD91" t="s">
        <v>752</v>
      </c>
      <c r="AE91" t="s">
        <v>480</v>
      </c>
      <c r="AF91" t="s">
        <v>668</v>
      </c>
      <c r="AG91" t="s">
        <v>481</v>
      </c>
      <c r="AM91">
        <v>1</v>
      </c>
      <c r="AN91">
        <v>4096</v>
      </c>
      <c r="AO91" t="s">
        <v>482</v>
      </c>
      <c r="AP91" t="s">
        <v>235</v>
      </c>
      <c r="AQ91" t="s">
        <v>236</v>
      </c>
      <c r="AS91" t="b">
        <v>1</v>
      </c>
      <c r="AT91" t="s">
        <v>113</v>
      </c>
      <c r="AV91" t="s">
        <v>104</v>
      </c>
      <c r="AW91">
        <v>-1</v>
      </c>
      <c r="AX91">
        <v>-1</v>
      </c>
      <c r="AZ91">
        <v>10228089</v>
      </c>
      <c r="BA91">
        <v>9836381</v>
      </c>
      <c r="BB91">
        <v>9815524</v>
      </c>
      <c r="BC91" t="s">
        <v>114</v>
      </c>
      <c r="BD91" t="s">
        <v>115</v>
      </c>
      <c r="BE91" t="s">
        <v>116</v>
      </c>
      <c r="BH91" t="b">
        <v>0</v>
      </c>
      <c r="BI91">
        <v>0</v>
      </c>
      <c r="BJ91">
        <v>10000</v>
      </c>
      <c r="BK91" t="b">
        <v>0</v>
      </c>
      <c r="BL91" t="b">
        <v>0</v>
      </c>
      <c r="BN91" t="b">
        <v>0</v>
      </c>
      <c r="BO91" t="s">
        <v>117</v>
      </c>
      <c r="BP91">
        <v>14</v>
      </c>
      <c r="BQ91" t="s">
        <v>115</v>
      </c>
      <c r="BR91" t="s">
        <v>118</v>
      </c>
      <c r="BT91" t="s">
        <v>753</v>
      </c>
      <c r="BU91" t="s">
        <v>754</v>
      </c>
      <c r="BV91" t="s">
        <v>754</v>
      </c>
      <c r="BW91" t="s">
        <v>754</v>
      </c>
      <c r="BY91" t="s">
        <v>1699</v>
      </c>
      <c r="BZ91" t="s">
        <v>1700</v>
      </c>
      <c r="CH91" t="s">
        <v>121</v>
      </c>
      <c r="CI91" t="s">
        <v>486</v>
      </c>
      <c r="CJ91" t="s">
        <v>1441</v>
      </c>
      <c r="CK91" t="s">
        <v>674</v>
      </c>
      <c r="CL91" t="s">
        <v>568</v>
      </c>
      <c r="CM91" t="s">
        <v>126</v>
      </c>
      <c r="CO91" t="s">
        <v>755</v>
      </c>
      <c r="CP91" t="s">
        <v>756</v>
      </c>
      <c r="CQ91" t="s">
        <v>757</v>
      </c>
      <c r="CR91" t="s">
        <v>1478</v>
      </c>
      <c r="CS91" t="s">
        <v>1331</v>
      </c>
      <c r="CT91" t="s">
        <v>130</v>
      </c>
      <c r="CU91" t="s">
        <v>131</v>
      </c>
    </row>
    <row r="92" spans="1:99">
      <c r="A92" t="s">
        <v>758</v>
      </c>
      <c r="B92" t="s">
        <v>99</v>
      </c>
      <c r="C92" t="b">
        <v>0</v>
      </c>
      <c r="D92" t="b">
        <v>0</v>
      </c>
      <c r="E92" t="s">
        <v>100</v>
      </c>
      <c r="F92" t="s">
        <v>759</v>
      </c>
      <c r="G92" t="s">
        <v>102</v>
      </c>
      <c r="H92" t="s">
        <v>103</v>
      </c>
      <c r="I92" t="s">
        <v>100</v>
      </c>
      <c r="J92" t="b">
        <v>0</v>
      </c>
      <c r="K92" s="41">
        <v>45929.952488425923</v>
      </c>
      <c r="N92">
        <v>0</v>
      </c>
      <c r="O92" s="41">
        <v>25568.791666666672</v>
      </c>
      <c r="P92" s="41">
        <v>45926.675879629627</v>
      </c>
      <c r="Q92" s="42">
        <v>2</v>
      </c>
      <c r="R92" t="s">
        <v>105</v>
      </c>
      <c r="S92" s="42">
        <v>16384</v>
      </c>
      <c r="T92">
        <v>1966</v>
      </c>
      <c r="U92">
        <v>4</v>
      </c>
      <c r="V92">
        <v>1</v>
      </c>
      <c r="W92" s="42">
        <v>40960</v>
      </c>
      <c r="Y92" t="s">
        <v>229</v>
      </c>
      <c r="Z92" t="s">
        <v>106</v>
      </c>
      <c r="AC92" t="b">
        <v>1</v>
      </c>
      <c r="AD92" t="s">
        <v>760</v>
      </c>
      <c r="AE92" t="s">
        <v>448</v>
      </c>
      <c r="AF92" t="s">
        <v>1443</v>
      </c>
      <c r="AG92" t="s">
        <v>233</v>
      </c>
      <c r="AH92" t="s">
        <v>448</v>
      </c>
      <c r="AM92">
        <v>1</v>
      </c>
      <c r="AN92">
        <v>16384</v>
      </c>
      <c r="AO92" t="s">
        <v>1517</v>
      </c>
      <c r="AP92" t="s">
        <v>235</v>
      </c>
      <c r="AQ92" t="s">
        <v>236</v>
      </c>
      <c r="AS92" t="b">
        <v>1</v>
      </c>
      <c r="AT92" t="s">
        <v>113</v>
      </c>
      <c r="AV92" t="s">
        <v>104</v>
      </c>
      <c r="AW92">
        <v>-1</v>
      </c>
      <c r="AX92">
        <v>-1</v>
      </c>
      <c r="AZ92">
        <v>57490</v>
      </c>
      <c r="BA92">
        <v>57490</v>
      </c>
      <c r="BB92">
        <v>40960</v>
      </c>
      <c r="BC92" t="s">
        <v>114</v>
      </c>
      <c r="BD92" t="s">
        <v>115</v>
      </c>
      <c r="BE92" t="s">
        <v>116</v>
      </c>
      <c r="BH92" t="b">
        <v>0</v>
      </c>
      <c r="BI92">
        <v>0</v>
      </c>
      <c r="BJ92">
        <v>10000</v>
      </c>
      <c r="BK92" t="b">
        <v>0</v>
      </c>
      <c r="BL92" t="b">
        <v>0</v>
      </c>
      <c r="BN92" t="b">
        <v>0</v>
      </c>
      <c r="BO92" t="s">
        <v>117</v>
      </c>
      <c r="BP92">
        <v>19</v>
      </c>
      <c r="BQ92" t="s">
        <v>115</v>
      </c>
      <c r="BR92" t="s">
        <v>118</v>
      </c>
      <c r="BT92" t="s">
        <v>761</v>
      </c>
      <c r="BU92" t="s">
        <v>762</v>
      </c>
      <c r="BV92" t="s">
        <v>762</v>
      </c>
      <c r="BW92" t="s">
        <v>762</v>
      </c>
      <c r="BY92" t="s">
        <v>1701</v>
      </c>
      <c r="BZ92" t="s">
        <v>1702</v>
      </c>
      <c r="CH92" t="s">
        <v>121</v>
      </c>
      <c r="CI92" t="s">
        <v>239</v>
      </c>
      <c r="CJ92" t="s">
        <v>1681</v>
      </c>
      <c r="CK92" t="s">
        <v>609</v>
      </c>
      <c r="CL92" t="s">
        <v>609</v>
      </c>
      <c r="CM92" t="s">
        <v>126</v>
      </c>
      <c r="CO92" t="s">
        <v>763</v>
      </c>
      <c r="CP92" t="s">
        <v>764</v>
      </c>
      <c r="CQ92" t="s">
        <v>765</v>
      </c>
      <c r="CR92" t="s">
        <v>1478</v>
      </c>
      <c r="CS92" t="s">
        <v>1331</v>
      </c>
      <c r="CT92" t="s">
        <v>130</v>
      </c>
      <c r="CU92" t="s">
        <v>131</v>
      </c>
    </row>
    <row r="93" spans="1:99">
      <c r="A93" t="s">
        <v>766</v>
      </c>
      <c r="B93" t="s">
        <v>99</v>
      </c>
      <c r="C93" t="b">
        <v>0</v>
      </c>
      <c r="D93" t="b">
        <v>0</v>
      </c>
      <c r="E93" t="s">
        <v>100</v>
      </c>
      <c r="F93" t="s">
        <v>767</v>
      </c>
      <c r="G93" t="s">
        <v>102</v>
      </c>
      <c r="H93" t="s">
        <v>103</v>
      </c>
      <c r="I93" t="s">
        <v>100</v>
      </c>
      <c r="J93" t="b">
        <v>0</v>
      </c>
      <c r="K93" s="41">
        <v>45926.69840277778</v>
      </c>
      <c r="N93">
        <v>0</v>
      </c>
      <c r="O93" s="41">
        <v>25568.791666666672</v>
      </c>
      <c r="P93" s="41">
        <v>45926.69840277778</v>
      </c>
      <c r="Q93" s="42">
        <v>4</v>
      </c>
      <c r="R93" t="s">
        <v>105</v>
      </c>
      <c r="S93" s="42">
        <v>8192</v>
      </c>
      <c r="T93">
        <v>573</v>
      </c>
      <c r="U93">
        <v>3</v>
      </c>
      <c r="V93">
        <v>1</v>
      </c>
      <c r="W93" s="42">
        <v>61440</v>
      </c>
      <c r="Y93" t="s">
        <v>229</v>
      </c>
      <c r="Z93" t="s">
        <v>106</v>
      </c>
      <c r="AB93" t="b">
        <v>1</v>
      </c>
      <c r="AC93" t="b">
        <v>1</v>
      </c>
      <c r="AD93" t="s">
        <v>1703</v>
      </c>
      <c r="AE93" t="s">
        <v>448</v>
      </c>
      <c r="AF93" t="s">
        <v>1443</v>
      </c>
      <c r="AG93" t="s">
        <v>233</v>
      </c>
      <c r="AM93">
        <v>1</v>
      </c>
      <c r="AN93">
        <v>16384</v>
      </c>
      <c r="AO93" t="s">
        <v>1517</v>
      </c>
      <c r="AP93" t="s">
        <v>235</v>
      </c>
      <c r="AQ93" t="s">
        <v>236</v>
      </c>
      <c r="AS93" t="b">
        <v>1</v>
      </c>
      <c r="AT93" t="s">
        <v>113</v>
      </c>
      <c r="AV93" t="s">
        <v>104</v>
      </c>
      <c r="AW93">
        <v>-1</v>
      </c>
      <c r="AX93">
        <v>-1</v>
      </c>
      <c r="AZ93">
        <v>69756</v>
      </c>
      <c r="BA93">
        <v>69756</v>
      </c>
      <c r="BB93">
        <v>61440</v>
      </c>
      <c r="BC93" t="s">
        <v>114</v>
      </c>
      <c r="BD93" t="s">
        <v>115</v>
      </c>
      <c r="BE93" t="s">
        <v>116</v>
      </c>
      <c r="BH93" t="b">
        <v>0</v>
      </c>
      <c r="BI93">
        <v>0</v>
      </c>
      <c r="BJ93">
        <v>10000</v>
      </c>
      <c r="BK93" t="b">
        <v>0</v>
      </c>
      <c r="BL93" t="b">
        <v>0</v>
      </c>
      <c r="BN93" t="b">
        <v>0</v>
      </c>
      <c r="BO93" t="s">
        <v>117</v>
      </c>
      <c r="BP93">
        <v>19</v>
      </c>
      <c r="BQ93" t="s">
        <v>115</v>
      </c>
      <c r="BR93" t="s">
        <v>118</v>
      </c>
      <c r="BT93" t="s">
        <v>1704</v>
      </c>
      <c r="BU93" t="s">
        <v>1705</v>
      </c>
      <c r="BV93" t="s">
        <v>1705</v>
      </c>
      <c r="BW93" t="s">
        <v>1705</v>
      </c>
      <c r="BY93" t="s">
        <v>1706</v>
      </c>
      <c r="BZ93" t="s">
        <v>1707</v>
      </c>
      <c r="CH93" t="s">
        <v>121</v>
      </c>
      <c r="CI93" t="s">
        <v>239</v>
      </c>
      <c r="CJ93" t="s">
        <v>1681</v>
      </c>
      <c r="CK93" t="s">
        <v>522</v>
      </c>
      <c r="CL93" t="s">
        <v>522</v>
      </c>
      <c r="CM93" t="s">
        <v>126</v>
      </c>
      <c r="CO93" t="s">
        <v>768</v>
      </c>
      <c r="CP93" t="s">
        <v>769</v>
      </c>
      <c r="CQ93" t="s">
        <v>770</v>
      </c>
      <c r="CR93" t="s">
        <v>1478</v>
      </c>
      <c r="CS93" t="s">
        <v>1331</v>
      </c>
      <c r="CT93" t="s">
        <v>130</v>
      </c>
      <c r="CU93" t="s">
        <v>131</v>
      </c>
    </row>
    <row r="94" spans="1:99">
      <c r="A94" t="s">
        <v>771</v>
      </c>
      <c r="B94" t="s">
        <v>99</v>
      </c>
      <c r="C94" t="b">
        <v>0</v>
      </c>
      <c r="D94" t="b">
        <v>0</v>
      </c>
      <c r="E94" t="s">
        <v>100</v>
      </c>
      <c r="F94" t="s">
        <v>772</v>
      </c>
      <c r="G94" t="s">
        <v>102</v>
      </c>
      <c r="H94" t="s">
        <v>103</v>
      </c>
      <c r="I94" t="s">
        <v>100</v>
      </c>
      <c r="J94" t="b">
        <v>0</v>
      </c>
      <c r="K94" s="41">
        <v>45875.715578703697</v>
      </c>
      <c r="N94">
        <v>0</v>
      </c>
      <c r="O94" s="41">
        <v>25568.791666666672</v>
      </c>
      <c r="P94" s="41">
        <v>45876.127835648149</v>
      </c>
      <c r="Q94" s="42">
        <v>8</v>
      </c>
      <c r="S94" s="42">
        <v>32768</v>
      </c>
      <c r="T94">
        <v>15073</v>
      </c>
      <c r="U94">
        <v>3</v>
      </c>
      <c r="V94">
        <v>26</v>
      </c>
      <c r="W94" s="42">
        <v>75550720</v>
      </c>
      <c r="Y94" t="s">
        <v>492</v>
      </c>
      <c r="Z94" t="s">
        <v>106</v>
      </c>
      <c r="AC94" t="b">
        <v>1</v>
      </c>
      <c r="AD94" t="s">
        <v>773</v>
      </c>
      <c r="AE94" t="s">
        <v>495</v>
      </c>
      <c r="AF94" t="s">
        <v>494</v>
      </c>
      <c r="AG94" t="s">
        <v>496</v>
      </c>
      <c r="AM94">
        <v>1</v>
      </c>
      <c r="AN94">
        <v>0</v>
      </c>
      <c r="AO94" t="s">
        <v>1355</v>
      </c>
      <c r="AP94" t="s">
        <v>235</v>
      </c>
      <c r="AQ94" t="s">
        <v>236</v>
      </c>
      <c r="AS94" t="b">
        <v>1</v>
      </c>
      <c r="AT94" t="s">
        <v>113</v>
      </c>
      <c r="AV94" t="s">
        <v>104</v>
      </c>
      <c r="AW94">
        <v>-1</v>
      </c>
      <c r="AX94">
        <v>-1</v>
      </c>
      <c r="AZ94">
        <v>75584415</v>
      </c>
      <c r="BA94">
        <v>75584415</v>
      </c>
      <c r="BB94">
        <v>75550720</v>
      </c>
      <c r="BC94" t="s">
        <v>114</v>
      </c>
      <c r="BD94" t="s">
        <v>115</v>
      </c>
      <c r="BE94" t="s">
        <v>116</v>
      </c>
      <c r="BH94" t="b">
        <v>0</v>
      </c>
      <c r="BI94">
        <v>0</v>
      </c>
      <c r="BJ94">
        <v>10000</v>
      </c>
      <c r="BK94" t="b">
        <v>0</v>
      </c>
      <c r="BL94" t="b">
        <v>0</v>
      </c>
      <c r="BN94" t="b">
        <v>0</v>
      </c>
      <c r="BO94" t="s">
        <v>117</v>
      </c>
      <c r="BP94">
        <v>13</v>
      </c>
      <c r="BQ94" t="s">
        <v>115</v>
      </c>
      <c r="BR94" t="s">
        <v>118</v>
      </c>
      <c r="BT94" t="s">
        <v>774</v>
      </c>
      <c r="BU94" t="s">
        <v>775</v>
      </c>
      <c r="BV94" t="s">
        <v>775</v>
      </c>
      <c r="BW94" t="s">
        <v>775</v>
      </c>
      <c r="BX94" t="s">
        <v>776</v>
      </c>
      <c r="BY94" t="s">
        <v>1708</v>
      </c>
      <c r="BZ94" t="s">
        <v>1709</v>
      </c>
      <c r="CH94" t="s">
        <v>121</v>
      </c>
      <c r="CI94" t="s">
        <v>501</v>
      </c>
      <c r="CJ94" t="s">
        <v>502</v>
      </c>
      <c r="CK94" t="s">
        <v>585</v>
      </c>
      <c r="CL94" t="s">
        <v>586</v>
      </c>
      <c r="CO94" t="s">
        <v>777</v>
      </c>
      <c r="CP94" t="s">
        <v>778</v>
      </c>
      <c r="CQ94" t="s">
        <v>779</v>
      </c>
      <c r="CR94" t="s">
        <v>1478</v>
      </c>
      <c r="CS94" t="s">
        <v>1331</v>
      </c>
      <c r="CT94" t="s">
        <v>130</v>
      </c>
      <c r="CU94" t="s">
        <v>131</v>
      </c>
    </row>
    <row r="95" spans="1:99">
      <c r="A95" t="s">
        <v>780</v>
      </c>
      <c r="B95" t="s">
        <v>99</v>
      </c>
      <c r="C95" t="b">
        <v>0</v>
      </c>
      <c r="D95" t="b">
        <v>0</v>
      </c>
      <c r="E95" t="s">
        <v>100</v>
      </c>
      <c r="F95" t="s">
        <v>781</v>
      </c>
      <c r="G95" t="s">
        <v>102</v>
      </c>
      <c r="H95" t="s">
        <v>103</v>
      </c>
      <c r="I95" t="s">
        <v>100</v>
      </c>
      <c r="J95" t="b">
        <v>0</v>
      </c>
      <c r="K95" s="41">
        <v>45774.848460648151</v>
      </c>
      <c r="N95">
        <v>0</v>
      </c>
      <c r="O95" s="41">
        <v>25568.791666666672</v>
      </c>
      <c r="P95" s="41">
        <v>45930.303194444437</v>
      </c>
      <c r="Q95" s="42">
        <v>2</v>
      </c>
      <c r="R95" t="s">
        <v>105</v>
      </c>
      <c r="S95" s="42">
        <v>16384</v>
      </c>
      <c r="T95">
        <v>1310</v>
      </c>
      <c r="U95">
        <v>3</v>
      </c>
      <c r="V95">
        <v>4</v>
      </c>
      <c r="W95" s="42">
        <v>225280</v>
      </c>
      <c r="Y95" t="s">
        <v>477</v>
      </c>
      <c r="Z95" t="s">
        <v>106</v>
      </c>
      <c r="AB95" t="b">
        <v>1</v>
      </c>
      <c r="AC95" t="b">
        <v>1</v>
      </c>
      <c r="AD95" t="s">
        <v>782</v>
      </c>
      <c r="AE95" t="s">
        <v>668</v>
      </c>
      <c r="AF95" t="s">
        <v>783</v>
      </c>
      <c r="AG95" t="s">
        <v>481</v>
      </c>
      <c r="AM95">
        <v>1</v>
      </c>
      <c r="AN95">
        <v>16384</v>
      </c>
      <c r="AO95" t="s">
        <v>482</v>
      </c>
      <c r="AP95" t="s">
        <v>235</v>
      </c>
      <c r="AQ95" t="s">
        <v>236</v>
      </c>
      <c r="AS95" t="b">
        <v>1</v>
      </c>
      <c r="AT95" t="s">
        <v>113</v>
      </c>
      <c r="AV95" t="s">
        <v>104</v>
      </c>
      <c r="AW95">
        <v>-1</v>
      </c>
      <c r="AX95">
        <v>-1</v>
      </c>
      <c r="AZ95">
        <v>241766</v>
      </c>
      <c r="BA95">
        <v>241766</v>
      </c>
      <c r="BB95">
        <v>225280</v>
      </c>
      <c r="BC95" t="s">
        <v>114</v>
      </c>
      <c r="BD95" t="s">
        <v>115</v>
      </c>
      <c r="BE95" t="s">
        <v>116</v>
      </c>
      <c r="BH95" t="b">
        <v>0</v>
      </c>
      <c r="BI95">
        <v>0</v>
      </c>
      <c r="BJ95">
        <v>10000</v>
      </c>
      <c r="BK95" t="b">
        <v>0</v>
      </c>
      <c r="BL95" t="b">
        <v>0</v>
      </c>
      <c r="BN95" t="b">
        <v>0</v>
      </c>
      <c r="BO95" t="s">
        <v>117</v>
      </c>
      <c r="BP95">
        <v>14</v>
      </c>
      <c r="BQ95" t="s">
        <v>115</v>
      </c>
      <c r="BR95" t="s">
        <v>118</v>
      </c>
      <c r="BT95" t="s">
        <v>784</v>
      </c>
      <c r="BU95" t="s">
        <v>785</v>
      </c>
      <c r="BV95" t="s">
        <v>785</v>
      </c>
      <c r="BW95" t="s">
        <v>785</v>
      </c>
      <c r="BY95" t="s">
        <v>1710</v>
      </c>
      <c r="BZ95" t="s">
        <v>1711</v>
      </c>
      <c r="CH95" t="s">
        <v>121</v>
      </c>
      <c r="CI95" t="s">
        <v>486</v>
      </c>
      <c r="CJ95" t="s">
        <v>673</v>
      </c>
      <c r="CK95" t="s">
        <v>487</v>
      </c>
      <c r="CL95" t="s">
        <v>487</v>
      </c>
      <c r="CM95" t="s">
        <v>126</v>
      </c>
      <c r="CO95" t="s">
        <v>786</v>
      </c>
      <c r="CP95" t="s">
        <v>787</v>
      </c>
      <c r="CQ95" t="s">
        <v>788</v>
      </c>
      <c r="CR95" t="s">
        <v>1478</v>
      </c>
      <c r="CS95" t="s">
        <v>1331</v>
      </c>
      <c r="CT95" t="s">
        <v>130</v>
      </c>
      <c r="CU95" t="s">
        <v>131</v>
      </c>
    </row>
    <row r="96" spans="1:99">
      <c r="A96" t="s">
        <v>789</v>
      </c>
      <c r="B96" t="s">
        <v>99</v>
      </c>
      <c r="C96" t="b">
        <v>0</v>
      </c>
      <c r="D96" t="b">
        <v>0</v>
      </c>
      <c r="E96" t="s">
        <v>100</v>
      </c>
      <c r="F96" t="s">
        <v>790</v>
      </c>
      <c r="G96" t="s">
        <v>102</v>
      </c>
      <c r="H96" t="s">
        <v>103</v>
      </c>
      <c r="I96" t="s">
        <v>100</v>
      </c>
      <c r="J96" t="b">
        <v>0</v>
      </c>
      <c r="K96" s="41">
        <v>45774.80201388889</v>
      </c>
      <c r="N96">
        <v>0</v>
      </c>
      <c r="O96" s="41">
        <v>43980.708275462966</v>
      </c>
      <c r="P96" s="41">
        <v>45926.754699074067</v>
      </c>
      <c r="Q96" s="42">
        <v>2</v>
      </c>
      <c r="R96" t="s">
        <v>105</v>
      </c>
      <c r="S96" s="42">
        <v>12288</v>
      </c>
      <c r="T96">
        <v>983</v>
      </c>
      <c r="U96">
        <v>3</v>
      </c>
      <c r="V96">
        <v>3</v>
      </c>
      <c r="W96" s="42">
        <v>153600</v>
      </c>
      <c r="Y96" t="s">
        <v>791</v>
      </c>
      <c r="Z96" t="s">
        <v>106</v>
      </c>
      <c r="AB96" t="b">
        <v>1</v>
      </c>
      <c r="AC96" t="b">
        <v>1</v>
      </c>
      <c r="AD96" t="s">
        <v>792</v>
      </c>
      <c r="AE96" t="s">
        <v>793</v>
      </c>
      <c r="AF96" t="s">
        <v>794</v>
      </c>
      <c r="AG96" t="s">
        <v>795</v>
      </c>
      <c r="AM96">
        <v>1</v>
      </c>
      <c r="AN96">
        <v>16384</v>
      </c>
      <c r="AO96" t="s">
        <v>796</v>
      </c>
      <c r="AP96" t="s">
        <v>797</v>
      </c>
      <c r="AQ96" t="s">
        <v>798</v>
      </c>
      <c r="AS96" t="b">
        <v>1</v>
      </c>
      <c r="AT96" t="s">
        <v>113</v>
      </c>
      <c r="AV96" t="s">
        <v>104</v>
      </c>
      <c r="AW96">
        <v>-1</v>
      </c>
      <c r="AX96">
        <v>-1</v>
      </c>
      <c r="AZ96">
        <v>166041</v>
      </c>
      <c r="BA96">
        <v>166041</v>
      </c>
      <c r="BB96">
        <v>153600</v>
      </c>
      <c r="BC96" t="s">
        <v>114</v>
      </c>
      <c r="BD96" t="s">
        <v>115</v>
      </c>
      <c r="BE96" t="s">
        <v>116</v>
      </c>
      <c r="BH96" t="b">
        <v>0</v>
      </c>
      <c r="BI96">
        <v>0</v>
      </c>
      <c r="BJ96">
        <v>10000</v>
      </c>
      <c r="BK96" t="b">
        <v>0</v>
      </c>
      <c r="BL96" t="b">
        <v>0</v>
      </c>
      <c r="BN96" t="b">
        <v>0</v>
      </c>
      <c r="BO96" t="s">
        <v>117</v>
      </c>
      <c r="BP96">
        <v>15</v>
      </c>
      <c r="BQ96" t="s">
        <v>115</v>
      </c>
      <c r="BR96" t="s">
        <v>118</v>
      </c>
      <c r="BT96" t="s">
        <v>799</v>
      </c>
      <c r="BU96" t="s">
        <v>800</v>
      </c>
      <c r="BV96" t="s">
        <v>800</v>
      </c>
      <c r="BW96" t="s">
        <v>800</v>
      </c>
      <c r="BX96" t="s">
        <v>801</v>
      </c>
      <c r="BY96" t="s">
        <v>1712</v>
      </c>
      <c r="BZ96" t="s">
        <v>1713</v>
      </c>
      <c r="CA96" t="s">
        <v>802</v>
      </c>
      <c r="CH96" t="s">
        <v>121</v>
      </c>
      <c r="CI96" t="s">
        <v>803</v>
      </c>
      <c r="CJ96" t="s">
        <v>823</v>
      </c>
      <c r="CK96" t="s">
        <v>627</v>
      </c>
      <c r="CL96" t="s">
        <v>160</v>
      </c>
      <c r="CM96" t="s">
        <v>126</v>
      </c>
      <c r="CO96" t="s">
        <v>802</v>
      </c>
      <c r="CP96" t="s">
        <v>805</v>
      </c>
      <c r="CQ96" t="s">
        <v>806</v>
      </c>
      <c r="CR96" t="s">
        <v>1478</v>
      </c>
      <c r="CS96" t="s">
        <v>1331</v>
      </c>
      <c r="CT96" t="s">
        <v>130</v>
      </c>
      <c r="CU96" t="s">
        <v>131</v>
      </c>
    </row>
    <row r="97" spans="1:99">
      <c r="A97" t="s">
        <v>807</v>
      </c>
      <c r="B97" t="s">
        <v>99</v>
      </c>
      <c r="C97" t="b">
        <v>0</v>
      </c>
      <c r="D97" t="b">
        <v>0</v>
      </c>
      <c r="E97" t="s">
        <v>100</v>
      </c>
      <c r="F97" t="s">
        <v>808</v>
      </c>
      <c r="G97" t="s">
        <v>102</v>
      </c>
      <c r="H97" t="s">
        <v>103</v>
      </c>
      <c r="I97" t="s">
        <v>100</v>
      </c>
      <c r="J97" t="b">
        <v>0</v>
      </c>
      <c r="K97" s="41">
        <v>45549.663935185177</v>
      </c>
      <c r="N97">
        <v>0</v>
      </c>
      <c r="O97" s="41">
        <v>25568.791666666672</v>
      </c>
      <c r="P97" s="41">
        <v>45882.644583333327</v>
      </c>
      <c r="Q97" s="42">
        <v>2</v>
      </c>
      <c r="R97" t="s">
        <v>105</v>
      </c>
      <c r="S97" s="42">
        <v>16384</v>
      </c>
      <c r="T97">
        <v>1474</v>
      </c>
      <c r="U97">
        <v>3</v>
      </c>
      <c r="V97">
        <v>3</v>
      </c>
      <c r="W97" s="42">
        <v>194560</v>
      </c>
      <c r="Y97" t="s">
        <v>791</v>
      </c>
      <c r="Z97" t="s">
        <v>106</v>
      </c>
      <c r="AB97" t="b">
        <v>1</v>
      </c>
      <c r="AC97" t="b">
        <v>1</v>
      </c>
      <c r="AD97" t="s">
        <v>809</v>
      </c>
      <c r="AE97" t="s">
        <v>793</v>
      </c>
      <c r="AF97" t="s">
        <v>795</v>
      </c>
      <c r="AG97" t="s">
        <v>794</v>
      </c>
      <c r="AM97">
        <v>1</v>
      </c>
      <c r="AN97">
        <v>16384</v>
      </c>
      <c r="AO97" t="s">
        <v>796</v>
      </c>
      <c r="AP97" t="s">
        <v>235</v>
      </c>
      <c r="AQ97" t="s">
        <v>236</v>
      </c>
      <c r="AS97" t="b">
        <v>1</v>
      </c>
      <c r="AT97" t="s">
        <v>113</v>
      </c>
      <c r="AV97" t="s">
        <v>104</v>
      </c>
      <c r="AW97">
        <v>-1</v>
      </c>
      <c r="AX97">
        <v>-1</v>
      </c>
      <c r="AZ97">
        <v>211170</v>
      </c>
      <c r="BA97">
        <v>211170</v>
      </c>
      <c r="BB97">
        <v>194560</v>
      </c>
      <c r="BC97" t="s">
        <v>114</v>
      </c>
      <c r="BD97" t="s">
        <v>115</v>
      </c>
      <c r="BE97" t="s">
        <v>116</v>
      </c>
      <c r="BH97" t="b">
        <v>0</v>
      </c>
      <c r="BI97">
        <v>0</v>
      </c>
      <c r="BJ97">
        <v>10000</v>
      </c>
      <c r="BK97" t="b">
        <v>0</v>
      </c>
      <c r="BL97" t="b">
        <v>0</v>
      </c>
      <c r="BN97" t="b">
        <v>0</v>
      </c>
      <c r="BO97" t="s">
        <v>117</v>
      </c>
      <c r="BP97">
        <v>15</v>
      </c>
      <c r="BQ97" t="s">
        <v>115</v>
      </c>
      <c r="BR97" t="s">
        <v>118</v>
      </c>
      <c r="BT97" t="s">
        <v>810</v>
      </c>
      <c r="BU97" t="s">
        <v>811</v>
      </c>
      <c r="BV97" t="s">
        <v>811</v>
      </c>
      <c r="BW97" t="s">
        <v>811</v>
      </c>
      <c r="BY97" t="s">
        <v>1714</v>
      </c>
      <c r="BZ97" t="s">
        <v>1715</v>
      </c>
      <c r="CH97" t="s">
        <v>121</v>
      </c>
      <c r="CI97" t="s">
        <v>803</v>
      </c>
      <c r="CJ97" t="s">
        <v>917</v>
      </c>
      <c r="CK97" t="s">
        <v>487</v>
      </c>
      <c r="CL97" t="s">
        <v>487</v>
      </c>
      <c r="CM97" t="s">
        <v>126</v>
      </c>
      <c r="CO97" t="s">
        <v>813</v>
      </c>
      <c r="CP97" t="s">
        <v>814</v>
      </c>
      <c r="CQ97" t="s">
        <v>815</v>
      </c>
      <c r="CR97" t="s">
        <v>1478</v>
      </c>
      <c r="CS97" t="s">
        <v>1331</v>
      </c>
      <c r="CT97" t="s">
        <v>130</v>
      </c>
      <c r="CU97" t="s">
        <v>131</v>
      </c>
    </row>
    <row r="98" spans="1:99">
      <c r="A98" t="s">
        <v>816</v>
      </c>
      <c r="B98" t="s">
        <v>99</v>
      </c>
      <c r="C98" t="b">
        <v>0</v>
      </c>
      <c r="D98" t="b">
        <v>0</v>
      </c>
      <c r="E98" t="s">
        <v>100</v>
      </c>
      <c r="F98" t="s">
        <v>817</v>
      </c>
      <c r="G98" t="s">
        <v>102</v>
      </c>
      <c r="H98" t="s">
        <v>103</v>
      </c>
      <c r="I98" t="s">
        <v>100</v>
      </c>
      <c r="J98" t="b">
        <v>0</v>
      </c>
      <c r="K98" s="41">
        <v>45787.557754629634</v>
      </c>
      <c r="N98">
        <v>0</v>
      </c>
      <c r="O98" s="41">
        <v>44014.382060185177</v>
      </c>
      <c r="P98" s="41">
        <v>45924.505462962959</v>
      </c>
      <c r="Q98" s="42">
        <v>4</v>
      </c>
      <c r="R98" t="s">
        <v>105</v>
      </c>
      <c r="S98" s="42">
        <v>32768</v>
      </c>
      <c r="T98">
        <v>1638</v>
      </c>
      <c r="U98">
        <v>3</v>
      </c>
      <c r="V98">
        <v>5</v>
      </c>
      <c r="W98" s="42">
        <v>1619148</v>
      </c>
      <c r="Y98" t="s">
        <v>791</v>
      </c>
      <c r="Z98" t="s">
        <v>106</v>
      </c>
      <c r="AB98" t="b">
        <v>1</v>
      </c>
      <c r="AC98" t="b">
        <v>1</v>
      </c>
      <c r="AD98" t="s">
        <v>818</v>
      </c>
      <c r="AE98" t="s">
        <v>793</v>
      </c>
      <c r="AF98" t="s">
        <v>794</v>
      </c>
      <c r="AG98" t="s">
        <v>819</v>
      </c>
      <c r="AM98">
        <v>1</v>
      </c>
      <c r="AN98">
        <v>16384</v>
      </c>
      <c r="AO98" t="s">
        <v>796</v>
      </c>
      <c r="AP98" t="s">
        <v>235</v>
      </c>
      <c r="AQ98" t="s">
        <v>236</v>
      </c>
      <c r="AS98" t="b">
        <v>1</v>
      </c>
      <c r="AT98" t="s">
        <v>113</v>
      </c>
      <c r="AV98" t="s">
        <v>104</v>
      </c>
      <c r="AW98">
        <v>-1</v>
      </c>
      <c r="AX98">
        <v>-1</v>
      </c>
      <c r="AZ98">
        <v>1652165</v>
      </c>
      <c r="BA98">
        <v>1652165</v>
      </c>
      <c r="BB98">
        <v>1619149</v>
      </c>
      <c r="BC98" t="s">
        <v>114</v>
      </c>
      <c r="BD98" t="s">
        <v>115</v>
      </c>
      <c r="BE98" t="s">
        <v>116</v>
      </c>
      <c r="BH98" t="b">
        <v>0</v>
      </c>
      <c r="BI98">
        <v>0</v>
      </c>
      <c r="BJ98">
        <v>10000</v>
      </c>
      <c r="BK98" t="b">
        <v>0</v>
      </c>
      <c r="BL98" t="b">
        <v>0</v>
      </c>
      <c r="BN98" t="b">
        <v>0</v>
      </c>
      <c r="BO98" t="s">
        <v>117</v>
      </c>
      <c r="BP98">
        <v>15</v>
      </c>
      <c r="BQ98" t="s">
        <v>115</v>
      </c>
      <c r="BR98" t="s">
        <v>118</v>
      </c>
      <c r="BT98" t="s">
        <v>820</v>
      </c>
      <c r="BU98" t="s">
        <v>821</v>
      </c>
      <c r="BV98" t="s">
        <v>821</v>
      </c>
      <c r="BW98" t="s">
        <v>821</v>
      </c>
      <c r="BX98" t="s">
        <v>822</v>
      </c>
      <c r="BY98" t="s">
        <v>1716</v>
      </c>
      <c r="BZ98" t="s">
        <v>1717</v>
      </c>
      <c r="CH98" t="s">
        <v>121</v>
      </c>
      <c r="CI98" t="s">
        <v>803</v>
      </c>
      <c r="CJ98" t="s">
        <v>823</v>
      </c>
      <c r="CK98" t="s">
        <v>627</v>
      </c>
      <c r="CL98" t="s">
        <v>627</v>
      </c>
      <c r="CM98" t="s">
        <v>126</v>
      </c>
      <c r="CO98" t="s">
        <v>824</v>
      </c>
      <c r="CP98" t="s">
        <v>825</v>
      </c>
      <c r="CQ98" t="s">
        <v>826</v>
      </c>
      <c r="CR98" t="s">
        <v>1478</v>
      </c>
      <c r="CS98" t="s">
        <v>1331</v>
      </c>
      <c r="CT98" t="s">
        <v>130</v>
      </c>
      <c r="CU98" t="s">
        <v>131</v>
      </c>
    </row>
    <row r="99" spans="1:99">
      <c r="A99" t="s">
        <v>827</v>
      </c>
      <c r="B99" t="s">
        <v>99</v>
      </c>
      <c r="C99" t="b">
        <v>0</v>
      </c>
      <c r="D99" t="b">
        <v>0</v>
      </c>
      <c r="E99" t="s">
        <v>100</v>
      </c>
      <c r="F99" t="s">
        <v>828</v>
      </c>
      <c r="G99" t="s">
        <v>102</v>
      </c>
      <c r="H99" t="s">
        <v>103</v>
      </c>
      <c r="I99" t="s">
        <v>100</v>
      </c>
      <c r="J99" t="b">
        <v>0</v>
      </c>
      <c r="K99" s="41">
        <v>45787.560694444437</v>
      </c>
      <c r="N99">
        <v>0</v>
      </c>
      <c r="O99" s="41">
        <v>44014.380150462966</v>
      </c>
      <c r="P99" s="41">
        <v>45891.181967592587</v>
      </c>
      <c r="Q99" s="42">
        <v>4</v>
      </c>
      <c r="R99" t="s">
        <v>105</v>
      </c>
      <c r="S99" s="42">
        <v>32768</v>
      </c>
      <c r="T99">
        <v>983</v>
      </c>
      <c r="U99">
        <v>3</v>
      </c>
      <c r="V99">
        <v>5</v>
      </c>
      <c r="W99" s="42">
        <v>1619148</v>
      </c>
      <c r="Y99" t="s">
        <v>791</v>
      </c>
      <c r="Z99" t="s">
        <v>106</v>
      </c>
      <c r="AB99" t="b">
        <v>1</v>
      </c>
      <c r="AC99" t="b">
        <v>1</v>
      </c>
      <c r="AD99" t="s">
        <v>829</v>
      </c>
      <c r="AE99" t="s">
        <v>793</v>
      </c>
      <c r="AF99" t="s">
        <v>794</v>
      </c>
      <c r="AG99" t="s">
        <v>819</v>
      </c>
      <c r="AM99">
        <v>1</v>
      </c>
      <c r="AN99">
        <v>16384</v>
      </c>
      <c r="AO99" t="s">
        <v>796</v>
      </c>
      <c r="AP99" t="s">
        <v>235</v>
      </c>
      <c r="AQ99" t="s">
        <v>236</v>
      </c>
      <c r="AS99" t="b">
        <v>1</v>
      </c>
      <c r="AT99" t="s">
        <v>113</v>
      </c>
      <c r="AV99" t="s">
        <v>104</v>
      </c>
      <c r="AW99">
        <v>-1</v>
      </c>
      <c r="AX99">
        <v>-1</v>
      </c>
      <c r="AZ99">
        <v>1652111</v>
      </c>
      <c r="BA99">
        <v>1652111</v>
      </c>
      <c r="BB99">
        <v>1619149</v>
      </c>
      <c r="BC99" t="s">
        <v>114</v>
      </c>
      <c r="BD99" t="s">
        <v>115</v>
      </c>
      <c r="BE99" t="s">
        <v>116</v>
      </c>
      <c r="BH99" t="b">
        <v>0</v>
      </c>
      <c r="BI99">
        <v>0</v>
      </c>
      <c r="BJ99">
        <v>10000</v>
      </c>
      <c r="BK99" t="b">
        <v>0</v>
      </c>
      <c r="BL99" t="b">
        <v>0</v>
      </c>
      <c r="BN99" t="b">
        <v>0</v>
      </c>
      <c r="BO99" t="s">
        <v>117</v>
      </c>
      <c r="BP99">
        <v>15</v>
      </c>
      <c r="BQ99" t="s">
        <v>115</v>
      </c>
      <c r="BR99" t="s">
        <v>118</v>
      </c>
      <c r="BT99" t="s">
        <v>830</v>
      </c>
      <c r="BU99" t="s">
        <v>831</v>
      </c>
      <c r="BV99" t="s">
        <v>831</v>
      </c>
      <c r="BW99" t="s">
        <v>831</v>
      </c>
      <c r="BX99" t="s">
        <v>822</v>
      </c>
      <c r="BY99" t="s">
        <v>1718</v>
      </c>
      <c r="BZ99" t="s">
        <v>1719</v>
      </c>
      <c r="CH99" t="s">
        <v>121</v>
      </c>
      <c r="CI99" t="s">
        <v>803</v>
      </c>
      <c r="CJ99" t="s">
        <v>823</v>
      </c>
      <c r="CK99" t="s">
        <v>627</v>
      </c>
      <c r="CL99" t="s">
        <v>627</v>
      </c>
      <c r="CM99" t="s">
        <v>126</v>
      </c>
      <c r="CO99" t="s">
        <v>832</v>
      </c>
      <c r="CP99" t="s">
        <v>833</v>
      </c>
      <c r="CQ99" t="s">
        <v>834</v>
      </c>
      <c r="CR99" t="s">
        <v>1478</v>
      </c>
      <c r="CS99" t="s">
        <v>1331</v>
      </c>
      <c r="CT99" t="s">
        <v>130</v>
      </c>
      <c r="CU99" t="s">
        <v>131</v>
      </c>
    </row>
    <row r="100" spans="1:99">
      <c r="A100" t="s">
        <v>835</v>
      </c>
      <c r="B100" t="s">
        <v>99</v>
      </c>
      <c r="C100" t="b">
        <v>0</v>
      </c>
      <c r="D100" t="b">
        <v>0</v>
      </c>
      <c r="E100" t="s">
        <v>100</v>
      </c>
      <c r="F100" t="s">
        <v>836</v>
      </c>
      <c r="G100" t="s">
        <v>102</v>
      </c>
      <c r="H100" t="s">
        <v>103</v>
      </c>
      <c r="I100" t="s">
        <v>100</v>
      </c>
      <c r="J100" t="b">
        <v>0</v>
      </c>
      <c r="K100" s="41">
        <v>45926.733391203707</v>
      </c>
      <c r="N100">
        <v>0</v>
      </c>
      <c r="O100" s="41">
        <v>25568.791666666672</v>
      </c>
      <c r="P100" s="41">
        <v>45928.054386574076</v>
      </c>
      <c r="Q100" s="42">
        <v>4</v>
      </c>
      <c r="R100" t="s">
        <v>105</v>
      </c>
      <c r="S100" s="42">
        <v>8192</v>
      </c>
      <c r="T100">
        <v>1146</v>
      </c>
      <c r="U100">
        <v>3</v>
      </c>
      <c r="V100">
        <v>1</v>
      </c>
      <c r="W100" s="42">
        <v>512383</v>
      </c>
      <c r="Y100" t="s">
        <v>229</v>
      </c>
      <c r="Z100" t="s">
        <v>106</v>
      </c>
      <c r="AB100" t="b">
        <v>1</v>
      </c>
      <c r="AC100" t="b">
        <v>1</v>
      </c>
      <c r="AD100" t="s">
        <v>1720</v>
      </c>
      <c r="AE100" t="s">
        <v>1443</v>
      </c>
      <c r="AF100" t="s">
        <v>1721</v>
      </c>
      <c r="AG100" t="s">
        <v>233</v>
      </c>
      <c r="AM100">
        <v>1</v>
      </c>
      <c r="AN100">
        <v>16384</v>
      </c>
      <c r="AO100" t="s">
        <v>874</v>
      </c>
      <c r="AP100" t="s">
        <v>235</v>
      </c>
      <c r="AQ100" t="s">
        <v>236</v>
      </c>
      <c r="AS100" t="b">
        <v>1</v>
      </c>
      <c r="AT100" t="s">
        <v>113</v>
      </c>
      <c r="AV100" t="s">
        <v>104</v>
      </c>
      <c r="AW100">
        <v>-1</v>
      </c>
      <c r="AX100">
        <v>-1</v>
      </c>
      <c r="AZ100">
        <v>520690</v>
      </c>
      <c r="BA100">
        <v>520690</v>
      </c>
      <c r="BB100">
        <v>512383</v>
      </c>
      <c r="BC100" t="s">
        <v>114</v>
      </c>
      <c r="BD100" t="s">
        <v>115</v>
      </c>
      <c r="BE100" t="s">
        <v>116</v>
      </c>
      <c r="BH100" t="b">
        <v>0</v>
      </c>
      <c r="BI100">
        <v>0</v>
      </c>
      <c r="BJ100">
        <v>10000</v>
      </c>
      <c r="BK100" t="b">
        <v>0</v>
      </c>
      <c r="BL100" t="b">
        <v>0</v>
      </c>
      <c r="BN100" t="b">
        <v>0</v>
      </c>
      <c r="BO100" t="s">
        <v>117</v>
      </c>
      <c r="BP100">
        <v>19</v>
      </c>
      <c r="BQ100" t="s">
        <v>115</v>
      </c>
      <c r="BR100" t="s">
        <v>118</v>
      </c>
      <c r="BT100" t="s">
        <v>1722</v>
      </c>
      <c r="BU100" t="s">
        <v>1723</v>
      </c>
      <c r="BV100" t="s">
        <v>1723</v>
      </c>
      <c r="BW100" t="s">
        <v>1723</v>
      </c>
      <c r="BY100" t="s">
        <v>1724</v>
      </c>
      <c r="BZ100" t="s">
        <v>1725</v>
      </c>
      <c r="CA100" t="s">
        <v>837</v>
      </c>
      <c r="CH100" t="s">
        <v>121</v>
      </c>
      <c r="CI100" t="s">
        <v>239</v>
      </c>
      <c r="CJ100" t="s">
        <v>309</v>
      </c>
      <c r="CK100" t="s">
        <v>487</v>
      </c>
      <c r="CL100" t="s">
        <v>487</v>
      </c>
      <c r="CM100" t="s">
        <v>126</v>
      </c>
      <c r="CO100" t="s">
        <v>837</v>
      </c>
      <c r="CP100" t="s">
        <v>838</v>
      </c>
      <c r="CQ100" t="s">
        <v>839</v>
      </c>
      <c r="CR100" t="s">
        <v>1478</v>
      </c>
      <c r="CS100" t="s">
        <v>1331</v>
      </c>
      <c r="CT100" t="s">
        <v>130</v>
      </c>
      <c r="CU100" t="s">
        <v>131</v>
      </c>
    </row>
    <row r="101" spans="1:99">
      <c r="A101" t="s">
        <v>840</v>
      </c>
      <c r="B101" t="s">
        <v>99</v>
      </c>
      <c r="C101" t="b">
        <v>0</v>
      </c>
      <c r="D101" t="b">
        <v>0</v>
      </c>
      <c r="E101" t="s">
        <v>100</v>
      </c>
      <c r="F101" t="s">
        <v>841</v>
      </c>
      <c r="G101" t="s">
        <v>102</v>
      </c>
      <c r="H101" t="s">
        <v>103</v>
      </c>
      <c r="I101" t="s">
        <v>100</v>
      </c>
      <c r="J101" t="b">
        <v>0</v>
      </c>
      <c r="K101" s="41">
        <v>45773.923194444447</v>
      </c>
      <c r="N101">
        <v>0</v>
      </c>
      <c r="O101" s="41">
        <v>25568.791666666672</v>
      </c>
      <c r="P101" s="41">
        <v>45773.995266203703</v>
      </c>
      <c r="Q101" s="42">
        <v>4</v>
      </c>
      <c r="R101" t="s">
        <v>105</v>
      </c>
      <c r="S101" s="42">
        <v>32768</v>
      </c>
      <c r="T101">
        <v>3932</v>
      </c>
      <c r="U101">
        <v>4</v>
      </c>
      <c r="V101">
        <v>4</v>
      </c>
      <c r="W101" s="42">
        <v>307200</v>
      </c>
      <c r="Y101" t="s">
        <v>477</v>
      </c>
      <c r="Z101" t="s">
        <v>106</v>
      </c>
      <c r="AB101" t="b">
        <v>1</v>
      </c>
      <c r="AC101" t="b">
        <v>1</v>
      </c>
      <c r="AD101" t="s">
        <v>842</v>
      </c>
      <c r="AE101" t="s">
        <v>479</v>
      </c>
      <c r="AF101" t="s">
        <v>843</v>
      </c>
      <c r="AG101" t="s">
        <v>508</v>
      </c>
      <c r="AH101" t="s">
        <v>537</v>
      </c>
      <c r="AM101">
        <v>1</v>
      </c>
      <c r="AN101">
        <v>16384</v>
      </c>
      <c r="AO101" t="s">
        <v>482</v>
      </c>
      <c r="AP101" t="s">
        <v>235</v>
      </c>
      <c r="AQ101" t="s">
        <v>236</v>
      </c>
      <c r="AS101" t="b">
        <v>1</v>
      </c>
      <c r="AT101" t="s">
        <v>113</v>
      </c>
      <c r="AV101" t="s">
        <v>104</v>
      </c>
      <c r="AW101">
        <v>-1</v>
      </c>
      <c r="AX101">
        <v>-1</v>
      </c>
      <c r="AZ101">
        <v>340419</v>
      </c>
      <c r="BA101">
        <v>340419</v>
      </c>
      <c r="BB101">
        <v>307200</v>
      </c>
      <c r="BC101" t="s">
        <v>114</v>
      </c>
      <c r="BD101" t="s">
        <v>115</v>
      </c>
      <c r="BE101" t="s">
        <v>116</v>
      </c>
      <c r="BH101" t="b">
        <v>0</v>
      </c>
      <c r="BI101">
        <v>0</v>
      </c>
      <c r="BJ101">
        <v>10000</v>
      </c>
      <c r="BK101" t="b">
        <v>0</v>
      </c>
      <c r="BL101" t="b">
        <v>0</v>
      </c>
      <c r="BN101" t="b">
        <v>0</v>
      </c>
      <c r="BO101" t="s">
        <v>117</v>
      </c>
      <c r="BP101">
        <v>15</v>
      </c>
      <c r="BQ101" t="s">
        <v>115</v>
      </c>
      <c r="BR101" t="s">
        <v>118</v>
      </c>
      <c r="BT101" t="s">
        <v>844</v>
      </c>
      <c r="BU101" t="s">
        <v>845</v>
      </c>
      <c r="BV101" t="s">
        <v>845</v>
      </c>
      <c r="BW101" t="s">
        <v>845</v>
      </c>
      <c r="BX101" t="s">
        <v>846</v>
      </c>
      <c r="BY101" t="s">
        <v>1726</v>
      </c>
      <c r="BZ101" t="s">
        <v>1727</v>
      </c>
      <c r="CH101" t="s">
        <v>121</v>
      </c>
      <c r="CI101" t="s">
        <v>486</v>
      </c>
      <c r="CJ101" t="s">
        <v>847</v>
      </c>
      <c r="CK101" t="s">
        <v>487</v>
      </c>
      <c r="CL101" t="s">
        <v>487</v>
      </c>
      <c r="CM101" t="s">
        <v>126</v>
      </c>
      <c r="CO101" t="s">
        <v>848</v>
      </c>
      <c r="CP101" t="s">
        <v>849</v>
      </c>
      <c r="CQ101" t="s">
        <v>850</v>
      </c>
      <c r="CR101" t="s">
        <v>1478</v>
      </c>
      <c r="CS101" t="s">
        <v>1331</v>
      </c>
      <c r="CT101" t="s">
        <v>130</v>
      </c>
      <c r="CU101" t="s">
        <v>131</v>
      </c>
    </row>
    <row r="102" spans="1:99">
      <c r="A102" t="s">
        <v>1162</v>
      </c>
      <c r="B102" t="s">
        <v>99</v>
      </c>
      <c r="C102" t="b">
        <v>0</v>
      </c>
      <c r="D102" t="b">
        <v>0</v>
      </c>
      <c r="E102" t="s">
        <v>100</v>
      </c>
      <c r="F102" t="s">
        <v>836</v>
      </c>
      <c r="G102" t="s">
        <v>102</v>
      </c>
      <c r="H102" t="s">
        <v>103</v>
      </c>
      <c r="I102" t="s">
        <v>100</v>
      </c>
      <c r="J102" t="b">
        <v>0</v>
      </c>
      <c r="K102" s="41">
        <v>45773.953148148154</v>
      </c>
      <c r="N102">
        <v>0</v>
      </c>
      <c r="O102" s="41">
        <v>25568.791666666672</v>
      </c>
      <c r="P102" s="41">
        <v>45924.71980324074</v>
      </c>
      <c r="Q102" s="42">
        <v>4</v>
      </c>
      <c r="R102" t="s">
        <v>105</v>
      </c>
      <c r="S102" s="42">
        <v>16384</v>
      </c>
      <c r="T102">
        <v>1802</v>
      </c>
      <c r="U102">
        <v>3</v>
      </c>
      <c r="V102">
        <v>1</v>
      </c>
      <c r="W102" s="42">
        <v>512383</v>
      </c>
      <c r="Y102" t="s">
        <v>477</v>
      </c>
      <c r="Z102" t="s">
        <v>106</v>
      </c>
      <c r="AB102" t="b">
        <v>1</v>
      </c>
      <c r="AC102" t="b">
        <v>1</v>
      </c>
      <c r="AD102" t="s">
        <v>1163</v>
      </c>
      <c r="AE102" t="s">
        <v>1164</v>
      </c>
      <c r="AF102" t="s">
        <v>1165</v>
      </c>
      <c r="AG102" t="s">
        <v>1166</v>
      </c>
      <c r="AM102">
        <v>1</v>
      </c>
      <c r="AN102">
        <v>16384</v>
      </c>
      <c r="AO102" t="s">
        <v>1167</v>
      </c>
      <c r="AP102" t="s">
        <v>1168</v>
      </c>
      <c r="AQ102" s="46" t="s">
        <v>1169</v>
      </c>
      <c r="AS102" t="b">
        <v>1</v>
      </c>
      <c r="AT102" t="s">
        <v>113</v>
      </c>
      <c r="AV102" t="s">
        <v>104</v>
      </c>
      <c r="AW102">
        <v>-1</v>
      </c>
      <c r="AX102">
        <v>-1</v>
      </c>
      <c r="AZ102">
        <v>528950</v>
      </c>
      <c r="BA102">
        <v>528950</v>
      </c>
      <c r="BB102">
        <v>512383</v>
      </c>
      <c r="BC102" t="s">
        <v>114</v>
      </c>
      <c r="BD102" t="s">
        <v>115</v>
      </c>
      <c r="BE102" t="s">
        <v>116</v>
      </c>
      <c r="BH102" t="b">
        <v>0</v>
      </c>
      <c r="BI102">
        <v>0</v>
      </c>
      <c r="BJ102">
        <v>10000</v>
      </c>
      <c r="BK102" t="b">
        <v>0</v>
      </c>
      <c r="BL102" t="b">
        <v>0</v>
      </c>
      <c r="BN102" t="b">
        <v>0</v>
      </c>
      <c r="BO102" t="s">
        <v>117</v>
      </c>
      <c r="BP102">
        <v>13</v>
      </c>
      <c r="BQ102" t="s">
        <v>115</v>
      </c>
      <c r="BR102" t="s">
        <v>118</v>
      </c>
      <c r="BT102" t="s">
        <v>1170</v>
      </c>
      <c r="BU102" t="s">
        <v>1171</v>
      </c>
      <c r="BV102" t="s">
        <v>1171</v>
      </c>
      <c r="BW102" t="s">
        <v>1171</v>
      </c>
      <c r="BY102" t="s">
        <v>1728</v>
      </c>
      <c r="BZ102" t="s">
        <v>1729</v>
      </c>
      <c r="CH102" t="s">
        <v>1172</v>
      </c>
      <c r="CI102" t="s">
        <v>1173</v>
      </c>
      <c r="CJ102" t="s">
        <v>1458</v>
      </c>
      <c r="CK102" t="s">
        <v>487</v>
      </c>
      <c r="CL102" t="s">
        <v>487</v>
      </c>
      <c r="CM102" t="s">
        <v>126</v>
      </c>
      <c r="CO102" t="s">
        <v>1174</v>
      </c>
      <c r="CP102" t="s">
        <v>1175</v>
      </c>
      <c r="CQ102" t="s">
        <v>1176</v>
      </c>
      <c r="CR102" t="s">
        <v>1478</v>
      </c>
      <c r="CS102" t="s">
        <v>1331</v>
      </c>
      <c r="CT102" t="s">
        <v>1177</v>
      </c>
      <c r="CU102" t="s">
        <v>1178</v>
      </c>
    </row>
    <row r="103" spans="1:99">
      <c r="A103" t="s">
        <v>851</v>
      </c>
      <c r="B103" t="s">
        <v>99</v>
      </c>
      <c r="C103" t="b">
        <v>0</v>
      </c>
      <c r="D103" t="b">
        <v>0</v>
      </c>
      <c r="E103" t="s">
        <v>100</v>
      </c>
      <c r="F103" t="s">
        <v>852</v>
      </c>
      <c r="G103" t="s">
        <v>102</v>
      </c>
      <c r="H103" t="s">
        <v>103</v>
      </c>
      <c r="I103" t="s">
        <v>100</v>
      </c>
      <c r="J103" t="b">
        <v>0</v>
      </c>
      <c r="K103" s="41">
        <v>45897.660266203697</v>
      </c>
      <c r="N103">
        <v>0</v>
      </c>
      <c r="O103" s="41">
        <v>25568.791666666672</v>
      </c>
      <c r="P103" s="41">
        <v>45908.024212962962</v>
      </c>
      <c r="Q103" s="42">
        <v>4</v>
      </c>
      <c r="R103" t="s">
        <v>105</v>
      </c>
      <c r="S103" s="42">
        <v>8192</v>
      </c>
      <c r="T103">
        <v>1556</v>
      </c>
      <c r="U103">
        <v>3</v>
      </c>
      <c r="V103">
        <v>10</v>
      </c>
      <c r="W103" s="42">
        <v>30511104</v>
      </c>
      <c r="Y103" t="s">
        <v>229</v>
      </c>
      <c r="Z103" t="s">
        <v>106</v>
      </c>
      <c r="AC103" t="b">
        <v>1</v>
      </c>
      <c r="AD103" t="s">
        <v>853</v>
      </c>
      <c r="AE103" t="s">
        <v>1443</v>
      </c>
      <c r="AF103" t="s">
        <v>448</v>
      </c>
      <c r="AG103" t="s">
        <v>233</v>
      </c>
      <c r="AM103">
        <v>1</v>
      </c>
      <c r="AN103">
        <v>16384</v>
      </c>
      <c r="AO103" t="s">
        <v>1517</v>
      </c>
      <c r="AP103" t="s">
        <v>235</v>
      </c>
      <c r="AQ103" t="s">
        <v>236</v>
      </c>
      <c r="AS103" t="b">
        <v>1</v>
      </c>
      <c r="AT103" t="s">
        <v>113</v>
      </c>
      <c r="AV103" t="s">
        <v>104</v>
      </c>
      <c r="AW103">
        <v>-1</v>
      </c>
      <c r="AX103">
        <v>-1</v>
      </c>
      <c r="AZ103">
        <v>30519597</v>
      </c>
      <c r="BA103">
        <v>30499818</v>
      </c>
      <c r="BB103">
        <v>30491325</v>
      </c>
      <c r="BC103" t="s">
        <v>114</v>
      </c>
      <c r="BD103" t="s">
        <v>115</v>
      </c>
      <c r="BE103" t="s">
        <v>116</v>
      </c>
      <c r="BH103" t="b">
        <v>0</v>
      </c>
      <c r="BI103">
        <v>0</v>
      </c>
      <c r="BJ103">
        <v>10000</v>
      </c>
      <c r="BK103" t="b">
        <v>0</v>
      </c>
      <c r="BL103" t="b">
        <v>0</v>
      </c>
      <c r="BN103" t="b">
        <v>0</v>
      </c>
      <c r="BO103" t="s">
        <v>117</v>
      </c>
      <c r="BP103">
        <v>19</v>
      </c>
      <c r="BQ103" t="s">
        <v>115</v>
      </c>
      <c r="BR103" t="s">
        <v>118</v>
      </c>
      <c r="BT103" t="s">
        <v>1456</v>
      </c>
      <c r="BU103" t="s">
        <v>1457</v>
      </c>
      <c r="BV103" t="s">
        <v>1457</v>
      </c>
      <c r="BW103" t="s">
        <v>1457</v>
      </c>
      <c r="BY103" t="s">
        <v>1730</v>
      </c>
      <c r="BZ103" t="s">
        <v>1731</v>
      </c>
      <c r="CH103" t="s">
        <v>121</v>
      </c>
      <c r="CI103" t="s">
        <v>239</v>
      </c>
      <c r="CJ103" t="s">
        <v>276</v>
      </c>
      <c r="CK103" t="s">
        <v>465</v>
      </c>
      <c r="CL103" t="s">
        <v>465</v>
      </c>
      <c r="CM103" t="s">
        <v>126</v>
      </c>
      <c r="CO103" t="s">
        <v>854</v>
      </c>
      <c r="CP103" t="s">
        <v>855</v>
      </c>
      <c r="CQ103" t="s">
        <v>856</v>
      </c>
      <c r="CR103" t="s">
        <v>1478</v>
      </c>
      <c r="CS103" t="s">
        <v>1331</v>
      </c>
      <c r="CT103" t="s">
        <v>130</v>
      </c>
      <c r="CU103" t="s">
        <v>131</v>
      </c>
    </row>
    <row r="104" spans="1:99">
      <c r="A104" t="s">
        <v>1179</v>
      </c>
      <c r="B104" t="s">
        <v>99</v>
      </c>
      <c r="C104" t="b">
        <v>0</v>
      </c>
      <c r="D104" t="b">
        <v>0</v>
      </c>
      <c r="E104" t="s">
        <v>100</v>
      </c>
      <c r="F104" t="s">
        <v>1180</v>
      </c>
      <c r="G104" t="s">
        <v>102</v>
      </c>
      <c r="H104" t="s">
        <v>103</v>
      </c>
      <c r="I104" t="s">
        <v>100</v>
      </c>
      <c r="J104" t="b">
        <v>0</v>
      </c>
      <c r="K104" s="41">
        <v>45773.943576388891</v>
      </c>
      <c r="N104">
        <v>0</v>
      </c>
      <c r="O104" s="41">
        <v>25568.791666666672</v>
      </c>
      <c r="P104" s="41">
        <v>45930.183738425927</v>
      </c>
      <c r="Q104" s="42">
        <v>4</v>
      </c>
      <c r="R104" t="s">
        <v>105</v>
      </c>
      <c r="S104" s="42">
        <v>8192</v>
      </c>
      <c r="T104">
        <v>737</v>
      </c>
      <c r="U104">
        <v>3</v>
      </c>
      <c r="V104">
        <v>3</v>
      </c>
      <c r="W104" s="42">
        <v>204800</v>
      </c>
      <c r="Y104" t="s">
        <v>477</v>
      </c>
      <c r="Z104" t="s">
        <v>106</v>
      </c>
      <c r="AB104" t="b">
        <v>1</v>
      </c>
      <c r="AC104" t="b">
        <v>1</v>
      </c>
      <c r="AD104" t="s">
        <v>1181</v>
      </c>
      <c r="AE104" t="s">
        <v>1182</v>
      </c>
      <c r="AF104" t="s">
        <v>1165</v>
      </c>
      <c r="AG104" t="s">
        <v>1166</v>
      </c>
      <c r="AM104">
        <v>1</v>
      </c>
      <c r="AN104">
        <v>16384</v>
      </c>
      <c r="AO104" t="s">
        <v>1167</v>
      </c>
      <c r="AP104" t="s">
        <v>1168</v>
      </c>
      <c r="AQ104" s="46" t="s">
        <v>1169</v>
      </c>
      <c r="AS104" t="b">
        <v>1</v>
      </c>
      <c r="AT104" t="s">
        <v>113</v>
      </c>
      <c r="AV104" t="s">
        <v>104</v>
      </c>
      <c r="AW104">
        <v>-1</v>
      </c>
      <c r="AX104">
        <v>-1</v>
      </c>
      <c r="AZ104">
        <v>213093</v>
      </c>
      <c r="BA104">
        <v>213093</v>
      </c>
      <c r="BB104">
        <v>204800</v>
      </c>
      <c r="BC104" t="s">
        <v>114</v>
      </c>
      <c r="BD104" t="s">
        <v>115</v>
      </c>
      <c r="BE104" t="s">
        <v>116</v>
      </c>
      <c r="BH104" t="b">
        <v>0</v>
      </c>
      <c r="BI104">
        <v>0</v>
      </c>
      <c r="BJ104">
        <v>10000</v>
      </c>
      <c r="BK104" t="b">
        <v>0</v>
      </c>
      <c r="BL104" t="b">
        <v>0</v>
      </c>
      <c r="BN104" t="b">
        <v>0</v>
      </c>
      <c r="BO104" t="s">
        <v>117</v>
      </c>
      <c r="BP104">
        <v>15</v>
      </c>
      <c r="BQ104" t="s">
        <v>115</v>
      </c>
      <c r="BR104" t="s">
        <v>118</v>
      </c>
      <c r="BT104" t="s">
        <v>1183</v>
      </c>
      <c r="BU104" t="s">
        <v>1184</v>
      </c>
      <c r="BV104" t="s">
        <v>1184</v>
      </c>
      <c r="BW104" t="s">
        <v>1184</v>
      </c>
      <c r="BX104" t="s">
        <v>875</v>
      </c>
      <c r="BY104" t="s">
        <v>1732</v>
      </c>
      <c r="BZ104" t="s">
        <v>1733</v>
      </c>
      <c r="CH104" t="s">
        <v>1172</v>
      </c>
      <c r="CI104" t="s">
        <v>1173</v>
      </c>
      <c r="CJ104" t="s">
        <v>1367</v>
      </c>
      <c r="CK104" t="s">
        <v>487</v>
      </c>
      <c r="CL104" t="s">
        <v>487</v>
      </c>
      <c r="CM104" t="s">
        <v>126</v>
      </c>
      <c r="CO104" t="s">
        <v>1185</v>
      </c>
      <c r="CP104" t="s">
        <v>1186</v>
      </c>
      <c r="CQ104" t="s">
        <v>1187</v>
      </c>
      <c r="CR104" t="s">
        <v>1478</v>
      </c>
      <c r="CS104" t="s">
        <v>1331</v>
      </c>
      <c r="CT104" t="s">
        <v>1177</v>
      </c>
      <c r="CU104" t="s">
        <v>1178</v>
      </c>
    </row>
    <row r="105" spans="1:99">
      <c r="A105" t="s">
        <v>857</v>
      </c>
      <c r="B105" t="s">
        <v>99</v>
      </c>
      <c r="C105" t="b">
        <v>0</v>
      </c>
      <c r="D105" t="b">
        <v>0</v>
      </c>
      <c r="E105" t="s">
        <v>100</v>
      </c>
      <c r="F105" t="s">
        <v>858</v>
      </c>
      <c r="G105" t="s">
        <v>102</v>
      </c>
      <c r="H105" t="s">
        <v>103</v>
      </c>
      <c r="I105" t="s">
        <v>100</v>
      </c>
      <c r="J105" t="b">
        <v>0</v>
      </c>
      <c r="K105" s="41">
        <v>45773.914664351847</v>
      </c>
      <c r="N105">
        <v>0</v>
      </c>
      <c r="O105" s="41">
        <v>44014.377060185187</v>
      </c>
      <c r="P105" s="41">
        <v>45931.061944444453</v>
      </c>
      <c r="Q105" s="42">
        <v>4</v>
      </c>
      <c r="R105" t="s">
        <v>105</v>
      </c>
      <c r="S105" s="42">
        <v>4096</v>
      </c>
      <c r="T105">
        <v>655</v>
      </c>
      <c r="U105">
        <v>3</v>
      </c>
      <c r="V105">
        <v>3</v>
      </c>
      <c r="W105" s="42">
        <v>512000</v>
      </c>
      <c r="Y105" t="s">
        <v>791</v>
      </c>
      <c r="Z105" t="s">
        <v>106</v>
      </c>
      <c r="AB105" t="b">
        <v>1</v>
      </c>
      <c r="AC105" t="b">
        <v>1</v>
      </c>
      <c r="AD105" t="s">
        <v>859</v>
      </c>
      <c r="AE105" t="s">
        <v>860</v>
      </c>
      <c r="AF105" t="s">
        <v>861</v>
      </c>
      <c r="AG105" t="s">
        <v>862</v>
      </c>
      <c r="AM105">
        <v>1</v>
      </c>
      <c r="AN105">
        <v>16384</v>
      </c>
      <c r="AO105" t="s">
        <v>863</v>
      </c>
      <c r="AP105" t="s">
        <v>235</v>
      </c>
      <c r="AQ105" t="s">
        <v>236</v>
      </c>
      <c r="AS105" t="b">
        <v>1</v>
      </c>
      <c r="AT105" t="s">
        <v>113</v>
      </c>
      <c r="AV105" t="s">
        <v>104</v>
      </c>
      <c r="AW105">
        <v>-1</v>
      </c>
      <c r="AX105">
        <v>-1</v>
      </c>
      <c r="AZ105">
        <v>516188</v>
      </c>
      <c r="BA105">
        <v>516188</v>
      </c>
      <c r="BB105">
        <v>512000</v>
      </c>
      <c r="BC105" t="s">
        <v>114</v>
      </c>
      <c r="BD105" t="s">
        <v>115</v>
      </c>
      <c r="BE105" t="s">
        <v>116</v>
      </c>
      <c r="BH105" t="b">
        <v>0</v>
      </c>
      <c r="BI105">
        <v>0</v>
      </c>
      <c r="BJ105">
        <v>10000</v>
      </c>
      <c r="BK105" t="b">
        <v>0</v>
      </c>
      <c r="BL105" t="b">
        <v>0</v>
      </c>
      <c r="BN105" t="b">
        <v>0</v>
      </c>
      <c r="BO105" t="s">
        <v>117</v>
      </c>
      <c r="BP105">
        <v>15</v>
      </c>
      <c r="BQ105" t="s">
        <v>115</v>
      </c>
      <c r="BR105" t="s">
        <v>118</v>
      </c>
      <c r="BT105" t="s">
        <v>864</v>
      </c>
      <c r="BU105" t="s">
        <v>865</v>
      </c>
      <c r="BV105" t="s">
        <v>865</v>
      </c>
      <c r="BW105" t="s">
        <v>865</v>
      </c>
      <c r="BX105" t="s">
        <v>822</v>
      </c>
      <c r="BY105" t="s">
        <v>1734</v>
      </c>
      <c r="BZ105" t="s">
        <v>1735</v>
      </c>
      <c r="CH105" t="s">
        <v>121</v>
      </c>
      <c r="CI105" t="s">
        <v>866</v>
      </c>
      <c r="CJ105" t="s">
        <v>1459</v>
      </c>
      <c r="CK105" t="s">
        <v>627</v>
      </c>
      <c r="CL105" t="s">
        <v>627</v>
      </c>
      <c r="CM105" t="s">
        <v>126</v>
      </c>
      <c r="CO105" t="s">
        <v>867</v>
      </c>
      <c r="CP105" t="s">
        <v>868</v>
      </c>
      <c r="CQ105" t="s">
        <v>869</v>
      </c>
      <c r="CR105" t="s">
        <v>1478</v>
      </c>
      <c r="CS105" t="s">
        <v>1331</v>
      </c>
      <c r="CT105" t="s">
        <v>130</v>
      </c>
      <c r="CU105" t="s">
        <v>131</v>
      </c>
    </row>
    <row r="106" spans="1:99">
      <c r="A106" t="s">
        <v>1188</v>
      </c>
      <c r="B106" t="s">
        <v>99</v>
      </c>
      <c r="C106" t="b">
        <v>0</v>
      </c>
      <c r="D106" t="b">
        <v>0</v>
      </c>
      <c r="E106" t="s">
        <v>100</v>
      </c>
      <c r="F106" t="s">
        <v>1189</v>
      </c>
      <c r="G106" t="s">
        <v>102</v>
      </c>
      <c r="H106" t="s">
        <v>103</v>
      </c>
      <c r="I106" t="s">
        <v>104</v>
      </c>
      <c r="J106" t="b">
        <v>0</v>
      </c>
      <c r="K106" s="41">
        <v>45912.578136574077</v>
      </c>
      <c r="N106">
        <v>0</v>
      </c>
      <c r="O106" s="41">
        <v>25568.791666666672</v>
      </c>
      <c r="P106" s="41">
        <v>45931.251793981479</v>
      </c>
      <c r="Q106" s="42">
        <v>8</v>
      </c>
      <c r="R106" t="s">
        <v>105</v>
      </c>
      <c r="S106" s="42">
        <v>8192</v>
      </c>
      <c r="T106">
        <v>819</v>
      </c>
      <c r="U106">
        <v>3</v>
      </c>
      <c r="V106">
        <v>7</v>
      </c>
      <c r="W106" s="42">
        <v>7749632</v>
      </c>
      <c r="Y106" t="s">
        <v>477</v>
      </c>
      <c r="Z106" t="s">
        <v>106</v>
      </c>
      <c r="AC106" t="b">
        <v>1</v>
      </c>
      <c r="AD106" t="s">
        <v>1190</v>
      </c>
      <c r="AE106" t="s">
        <v>1182</v>
      </c>
      <c r="AF106" t="s">
        <v>1191</v>
      </c>
      <c r="AG106" t="s">
        <v>1166</v>
      </c>
      <c r="AM106">
        <v>1</v>
      </c>
      <c r="AN106">
        <v>16384</v>
      </c>
      <c r="AO106" t="s">
        <v>1167</v>
      </c>
      <c r="AP106" t="s">
        <v>1168</v>
      </c>
      <c r="AQ106" s="46" t="s">
        <v>1169</v>
      </c>
      <c r="AS106" t="b">
        <v>1</v>
      </c>
      <c r="AT106" t="s">
        <v>113</v>
      </c>
      <c r="AV106" t="s">
        <v>104</v>
      </c>
      <c r="AW106">
        <v>-1</v>
      </c>
      <c r="AX106">
        <v>-1</v>
      </c>
      <c r="AZ106">
        <v>7757928</v>
      </c>
      <c r="BA106">
        <v>7757928</v>
      </c>
      <c r="BB106">
        <v>7749632</v>
      </c>
      <c r="BC106" t="s">
        <v>114</v>
      </c>
      <c r="BD106" t="s">
        <v>115</v>
      </c>
      <c r="BE106" t="s">
        <v>116</v>
      </c>
      <c r="BH106" t="b">
        <v>0</v>
      </c>
      <c r="BI106">
        <v>0</v>
      </c>
      <c r="BJ106">
        <v>10000</v>
      </c>
      <c r="BK106" t="b">
        <v>0</v>
      </c>
      <c r="BL106" t="b">
        <v>0</v>
      </c>
      <c r="BN106" t="b">
        <v>0</v>
      </c>
      <c r="BO106" t="s">
        <v>117</v>
      </c>
      <c r="BP106">
        <v>13</v>
      </c>
      <c r="BQ106" t="s">
        <v>115</v>
      </c>
      <c r="BR106" t="s">
        <v>118</v>
      </c>
      <c r="BT106" t="s">
        <v>1192</v>
      </c>
      <c r="BU106" t="s">
        <v>1193</v>
      </c>
      <c r="BV106" t="s">
        <v>1193</v>
      </c>
      <c r="BW106" t="s">
        <v>1193</v>
      </c>
      <c r="BX106" t="s">
        <v>1194</v>
      </c>
      <c r="BY106" t="s">
        <v>1736</v>
      </c>
      <c r="BZ106" t="s">
        <v>1737</v>
      </c>
      <c r="CH106" t="s">
        <v>1172</v>
      </c>
      <c r="CI106" t="s">
        <v>1173</v>
      </c>
      <c r="CJ106" t="s">
        <v>1458</v>
      </c>
      <c r="CK106" t="s">
        <v>931</v>
      </c>
      <c r="CL106" t="s">
        <v>931</v>
      </c>
      <c r="CM106" t="s">
        <v>126</v>
      </c>
      <c r="CO106" t="s">
        <v>1195</v>
      </c>
      <c r="CP106" t="s">
        <v>1196</v>
      </c>
      <c r="CQ106" t="s">
        <v>1197</v>
      </c>
      <c r="CR106" t="s">
        <v>1478</v>
      </c>
      <c r="CS106" t="s">
        <v>1331</v>
      </c>
      <c r="CT106" t="s">
        <v>1177</v>
      </c>
      <c r="CU106" t="s">
        <v>1178</v>
      </c>
    </row>
    <row r="107" spans="1:99">
      <c r="A107" t="s">
        <v>870</v>
      </c>
      <c r="B107" t="s">
        <v>99</v>
      </c>
      <c r="C107" t="b">
        <v>0</v>
      </c>
      <c r="D107" t="b">
        <v>0</v>
      </c>
      <c r="E107" t="s">
        <v>100</v>
      </c>
      <c r="F107" t="s">
        <v>871</v>
      </c>
      <c r="G107" t="s">
        <v>102</v>
      </c>
      <c r="H107" t="s">
        <v>103</v>
      </c>
      <c r="I107" t="s">
        <v>100</v>
      </c>
      <c r="J107" t="b">
        <v>0</v>
      </c>
      <c r="K107" s="41">
        <v>45773.969525462962</v>
      </c>
      <c r="N107">
        <v>0</v>
      </c>
      <c r="O107" s="41">
        <v>25568.791666666672</v>
      </c>
      <c r="P107" s="41">
        <v>45922.7265162037</v>
      </c>
      <c r="Q107" s="42">
        <v>4</v>
      </c>
      <c r="R107" t="s">
        <v>105</v>
      </c>
      <c r="S107" s="42">
        <v>16384</v>
      </c>
      <c r="T107">
        <v>1638</v>
      </c>
      <c r="U107">
        <v>3</v>
      </c>
      <c r="V107">
        <v>3</v>
      </c>
      <c r="W107" s="42">
        <v>1150976</v>
      </c>
      <c r="Y107" t="s">
        <v>229</v>
      </c>
      <c r="Z107" t="s">
        <v>106</v>
      </c>
      <c r="AB107" t="b">
        <v>1</v>
      </c>
      <c r="AC107" t="b">
        <v>1</v>
      </c>
      <c r="AD107" t="s">
        <v>872</v>
      </c>
      <c r="AE107" t="s">
        <v>873</v>
      </c>
      <c r="AF107" t="s">
        <v>474</v>
      </c>
      <c r="AG107" t="s">
        <v>448</v>
      </c>
      <c r="AM107">
        <v>1</v>
      </c>
      <c r="AN107">
        <v>16384</v>
      </c>
      <c r="AO107" t="s">
        <v>1517</v>
      </c>
      <c r="AP107" t="s">
        <v>144</v>
      </c>
      <c r="AQ107" t="s">
        <v>145</v>
      </c>
      <c r="AS107" t="b">
        <v>1</v>
      </c>
      <c r="AT107" t="s">
        <v>113</v>
      </c>
      <c r="AV107" t="s">
        <v>104</v>
      </c>
      <c r="AW107">
        <v>-1</v>
      </c>
      <c r="AX107">
        <v>-1</v>
      </c>
      <c r="AZ107">
        <v>1167847</v>
      </c>
      <c r="BA107">
        <v>1167847</v>
      </c>
      <c r="BB107">
        <v>1150976</v>
      </c>
      <c r="BC107" t="s">
        <v>114</v>
      </c>
      <c r="BD107" t="s">
        <v>115</v>
      </c>
      <c r="BE107" t="s">
        <v>116</v>
      </c>
      <c r="BH107" t="b">
        <v>0</v>
      </c>
      <c r="BI107">
        <v>0</v>
      </c>
      <c r="BJ107">
        <v>10000</v>
      </c>
      <c r="BK107" t="b">
        <v>0</v>
      </c>
      <c r="BL107" t="b">
        <v>0</v>
      </c>
      <c r="BN107" t="b">
        <v>0</v>
      </c>
      <c r="BO107" t="s">
        <v>117</v>
      </c>
      <c r="BP107">
        <v>19</v>
      </c>
      <c r="BQ107" t="s">
        <v>115</v>
      </c>
      <c r="BR107" t="s">
        <v>118</v>
      </c>
      <c r="BT107" t="s">
        <v>1357</v>
      </c>
      <c r="BU107" t="s">
        <v>1358</v>
      </c>
      <c r="BV107" t="s">
        <v>1358</v>
      </c>
      <c r="BW107" t="s">
        <v>1358</v>
      </c>
      <c r="BX107" t="s">
        <v>875</v>
      </c>
      <c r="BY107" t="s">
        <v>1738</v>
      </c>
      <c r="BZ107" t="s">
        <v>1739</v>
      </c>
      <c r="CA107" t="s">
        <v>876</v>
      </c>
      <c r="CH107" t="s">
        <v>121</v>
      </c>
      <c r="CI107" t="s">
        <v>239</v>
      </c>
      <c r="CJ107" t="s">
        <v>312</v>
      </c>
      <c r="CK107" t="s">
        <v>487</v>
      </c>
      <c r="CL107" t="s">
        <v>487</v>
      </c>
      <c r="CM107" t="s">
        <v>126</v>
      </c>
      <c r="CO107" t="s">
        <v>876</v>
      </c>
      <c r="CP107" t="s">
        <v>877</v>
      </c>
      <c r="CQ107" t="s">
        <v>878</v>
      </c>
      <c r="CR107" t="s">
        <v>1478</v>
      </c>
      <c r="CS107" t="s">
        <v>1331</v>
      </c>
      <c r="CT107" t="s">
        <v>130</v>
      </c>
      <c r="CU107" t="s">
        <v>131</v>
      </c>
    </row>
    <row r="108" spans="1:99">
      <c r="A108" t="s">
        <v>879</v>
      </c>
      <c r="B108" t="s">
        <v>99</v>
      </c>
      <c r="C108" t="b">
        <v>0</v>
      </c>
      <c r="D108" t="b">
        <v>0</v>
      </c>
      <c r="E108" t="s">
        <v>100</v>
      </c>
      <c r="F108" t="s">
        <v>880</v>
      </c>
      <c r="G108" t="s">
        <v>102</v>
      </c>
      <c r="H108" t="s">
        <v>103</v>
      </c>
      <c r="I108" t="s">
        <v>100</v>
      </c>
      <c r="J108" t="b">
        <v>0</v>
      </c>
      <c r="K108" s="41">
        <v>45773.935752314806</v>
      </c>
      <c r="N108">
        <v>0</v>
      </c>
      <c r="O108" s="41">
        <v>43924.431261574071</v>
      </c>
      <c r="P108" s="41">
        <v>45925.609363425923</v>
      </c>
      <c r="Q108" s="42">
        <v>8</v>
      </c>
      <c r="R108" t="s">
        <v>105</v>
      </c>
      <c r="S108" s="42">
        <v>16384</v>
      </c>
      <c r="T108">
        <v>655</v>
      </c>
      <c r="U108">
        <v>3</v>
      </c>
      <c r="V108">
        <v>3</v>
      </c>
      <c r="W108" s="42">
        <v>1024000</v>
      </c>
      <c r="Y108" t="s">
        <v>791</v>
      </c>
      <c r="Z108" t="s">
        <v>106</v>
      </c>
      <c r="AB108" t="b">
        <v>1</v>
      </c>
      <c r="AC108" t="b">
        <v>1</v>
      </c>
      <c r="AD108" t="s">
        <v>881</v>
      </c>
      <c r="AE108" t="s">
        <v>860</v>
      </c>
      <c r="AF108" t="s">
        <v>861</v>
      </c>
      <c r="AG108" t="s">
        <v>882</v>
      </c>
      <c r="AM108">
        <v>1</v>
      </c>
      <c r="AN108">
        <v>16384</v>
      </c>
      <c r="AO108" t="s">
        <v>863</v>
      </c>
      <c r="AP108" t="s">
        <v>235</v>
      </c>
      <c r="AQ108" t="s">
        <v>236</v>
      </c>
      <c r="AS108" t="b">
        <v>1</v>
      </c>
      <c r="AT108" t="s">
        <v>113</v>
      </c>
      <c r="AV108" t="s">
        <v>104</v>
      </c>
      <c r="AW108">
        <v>-1</v>
      </c>
      <c r="AX108">
        <v>-1</v>
      </c>
      <c r="AZ108">
        <v>1040565</v>
      </c>
      <c r="BA108">
        <v>1040565</v>
      </c>
      <c r="BB108">
        <v>1024000</v>
      </c>
      <c r="BC108" t="s">
        <v>114</v>
      </c>
      <c r="BD108" t="s">
        <v>115</v>
      </c>
      <c r="BE108" t="s">
        <v>116</v>
      </c>
      <c r="BH108" t="b">
        <v>0</v>
      </c>
      <c r="BI108">
        <v>0</v>
      </c>
      <c r="BJ108">
        <v>10000</v>
      </c>
      <c r="BK108" t="b">
        <v>0</v>
      </c>
      <c r="BL108" t="b">
        <v>0</v>
      </c>
      <c r="BN108" t="b">
        <v>0</v>
      </c>
      <c r="BO108" t="s">
        <v>117</v>
      </c>
      <c r="BP108">
        <v>15</v>
      </c>
      <c r="BQ108" t="s">
        <v>115</v>
      </c>
      <c r="BR108" t="s">
        <v>118</v>
      </c>
      <c r="BT108" t="s">
        <v>883</v>
      </c>
      <c r="BU108" t="s">
        <v>884</v>
      </c>
      <c r="BV108" t="s">
        <v>884</v>
      </c>
      <c r="BW108" t="s">
        <v>884</v>
      </c>
      <c r="BX108" t="s">
        <v>885</v>
      </c>
      <c r="BY108" t="s">
        <v>1740</v>
      </c>
      <c r="BZ108" t="s">
        <v>1741</v>
      </c>
      <c r="CH108" t="s">
        <v>121</v>
      </c>
      <c r="CI108" t="s">
        <v>866</v>
      </c>
      <c r="CJ108" t="s">
        <v>1459</v>
      </c>
      <c r="CK108" t="s">
        <v>627</v>
      </c>
      <c r="CL108" t="s">
        <v>627</v>
      </c>
      <c r="CM108" t="s">
        <v>126</v>
      </c>
      <c r="CO108" t="s">
        <v>886</v>
      </c>
      <c r="CP108" t="s">
        <v>887</v>
      </c>
      <c r="CQ108" t="s">
        <v>888</v>
      </c>
      <c r="CR108" t="s">
        <v>1478</v>
      </c>
      <c r="CS108" t="s">
        <v>1331</v>
      </c>
      <c r="CT108" t="s">
        <v>130</v>
      </c>
      <c r="CU108" t="s">
        <v>131</v>
      </c>
    </row>
    <row r="109" spans="1:99">
      <c r="A109" t="s">
        <v>1155</v>
      </c>
      <c r="B109" t="s">
        <v>99</v>
      </c>
      <c r="C109" t="b">
        <v>0</v>
      </c>
      <c r="D109" t="b">
        <v>0</v>
      </c>
      <c r="E109" t="s">
        <v>100</v>
      </c>
      <c r="F109" t="s">
        <v>1156</v>
      </c>
      <c r="G109" t="s">
        <v>102</v>
      </c>
      <c r="H109" t="s">
        <v>103</v>
      </c>
      <c r="I109" t="s">
        <v>100</v>
      </c>
      <c r="J109" t="b">
        <v>0</v>
      </c>
      <c r="K109" s="41">
        <v>45638.392777777779</v>
      </c>
      <c r="N109">
        <v>0</v>
      </c>
      <c r="O109" s="41">
        <v>25568.791666666672</v>
      </c>
      <c r="P109" s="41">
        <v>45729.687719907408</v>
      </c>
      <c r="Q109" s="42">
        <v>8</v>
      </c>
      <c r="R109" t="s">
        <v>105</v>
      </c>
      <c r="S109" s="42">
        <v>16384</v>
      </c>
      <c r="T109">
        <v>983</v>
      </c>
      <c r="U109">
        <v>3</v>
      </c>
      <c r="V109">
        <v>3</v>
      </c>
      <c r="W109" s="42">
        <v>1024000</v>
      </c>
      <c r="Y109" t="s">
        <v>229</v>
      </c>
      <c r="Z109" t="s">
        <v>106</v>
      </c>
      <c r="AC109" t="b">
        <v>1</v>
      </c>
      <c r="AD109" t="s">
        <v>1157</v>
      </c>
      <c r="AE109" t="s">
        <v>1460</v>
      </c>
      <c r="AF109" t="s">
        <v>1461</v>
      </c>
      <c r="AG109" t="s">
        <v>1462</v>
      </c>
      <c r="AM109">
        <v>1</v>
      </c>
      <c r="AN109">
        <v>16384</v>
      </c>
      <c r="AO109" t="s">
        <v>1463</v>
      </c>
      <c r="AP109" t="s">
        <v>1464</v>
      </c>
      <c r="AQ109" s="46" t="s">
        <v>1158</v>
      </c>
      <c r="AS109" t="b">
        <v>1</v>
      </c>
      <c r="AT109" t="s">
        <v>113</v>
      </c>
      <c r="AV109" t="s">
        <v>104</v>
      </c>
      <c r="AW109">
        <v>-1</v>
      </c>
      <c r="AX109">
        <v>-1</v>
      </c>
      <c r="AZ109">
        <v>1041034</v>
      </c>
      <c r="BA109">
        <v>1041034</v>
      </c>
      <c r="BB109">
        <v>1024000</v>
      </c>
      <c r="BC109" t="s">
        <v>114</v>
      </c>
      <c r="BD109" t="s">
        <v>115</v>
      </c>
      <c r="BE109" t="s">
        <v>116</v>
      </c>
      <c r="BH109" t="b">
        <v>0</v>
      </c>
      <c r="BI109">
        <v>0</v>
      </c>
      <c r="BJ109">
        <v>10000</v>
      </c>
      <c r="BK109" t="b">
        <v>0</v>
      </c>
      <c r="BL109" t="b">
        <v>0</v>
      </c>
      <c r="BN109" t="b">
        <v>0</v>
      </c>
      <c r="BO109" t="s">
        <v>117</v>
      </c>
      <c r="BP109">
        <v>15</v>
      </c>
      <c r="BQ109" t="s">
        <v>115</v>
      </c>
      <c r="BR109" t="s">
        <v>118</v>
      </c>
      <c r="BT109" t="s">
        <v>1465</v>
      </c>
      <c r="BU109" t="s">
        <v>1466</v>
      </c>
      <c r="BV109" t="s">
        <v>1466</v>
      </c>
      <c r="BW109" t="s">
        <v>1466</v>
      </c>
      <c r="BY109" t="s">
        <v>1742</v>
      </c>
      <c r="BZ109" t="s">
        <v>1743</v>
      </c>
      <c r="CH109" t="s">
        <v>1386</v>
      </c>
      <c r="CI109" t="s">
        <v>1467</v>
      </c>
      <c r="CJ109" t="s">
        <v>1468</v>
      </c>
      <c r="CK109" t="s">
        <v>627</v>
      </c>
      <c r="CL109" t="s">
        <v>627</v>
      </c>
      <c r="CM109" t="s">
        <v>126</v>
      </c>
      <c r="CO109" t="s">
        <v>1469</v>
      </c>
      <c r="CP109" t="s">
        <v>1159</v>
      </c>
      <c r="CQ109" t="s">
        <v>1470</v>
      </c>
      <c r="CR109" t="s">
        <v>1330</v>
      </c>
      <c r="CS109" t="s">
        <v>1331</v>
      </c>
      <c r="CT109" t="s">
        <v>1160</v>
      </c>
      <c r="CU109" t="s">
        <v>1161</v>
      </c>
    </row>
    <row r="110" spans="1:99">
      <c r="A110" t="s">
        <v>889</v>
      </c>
      <c r="B110" t="s">
        <v>99</v>
      </c>
      <c r="C110" t="b">
        <v>0</v>
      </c>
      <c r="D110" t="b">
        <v>0</v>
      </c>
      <c r="E110" t="s">
        <v>100</v>
      </c>
      <c r="F110" t="s">
        <v>890</v>
      </c>
      <c r="G110" t="s">
        <v>102</v>
      </c>
      <c r="H110" t="s">
        <v>103</v>
      </c>
      <c r="I110" t="s">
        <v>100</v>
      </c>
      <c r="J110" t="b">
        <v>0</v>
      </c>
      <c r="K110" s="41">
        <v>45775.902905092589</v>
      </c>
      <c r="N110">
        <v>0</v>
      </c>
      <c r="O110" s="41">
        <v>44040.939571759263</v>
      </c>
      <c r="P110" s="41">
        <v>45918.428946759261</v>
      </c>
      <c r="Q110" s="42">
        <v>8</v>
      </c>
      <c r="R110" t="s">
        <v>105</v>
      </c>
      <c r="S110" s="42">
        <v>16384</v>
      </c>
      <c r="T110">
        <v>1638</v>
      </c>
      <c r="U110">
        <v>3</v>
      </c>
      <c r="V110">
        <v>2</v>
      </c>
      <c r="W110" s="42">
        <v>1079296</v>
      </c>
      <c r="Y110" t="s">
        <v>492</v>
      </c>
      <c r="Z110" t="s">
        <v>106</v>
      </c>
      <c r="AC110" t="b">
        <v>1</v>
      </c>
      <c r="AD110" t="s">
        <v>891</v>
      </c>
      <c r="AE110" t="s">
        <v>892</v>
      </c>
      <c r="AF110" t="s">
        <v>793</v>
      </c>
      <c r="AG110" t="s">
        <v>893</v>
      </c>
      <c r="AM110">
        <v>1</v>
      </c>
      <c r="AN110">
        <v>16384</v>
      </c>
      <c r="AO110" t="s">
        <v>796</v>
      </c>
      <c r="AP110" t="s">
        <v>235</v>
      </c>
      <c r="AQ110" t="s">
        <v>236</v>
      </c>
      <c r="AS110" t="b">
        <v>1</v>
      </c>
      <c r="AT110" t="s">
        <v>113</v>
      </c>
      <c r="AV110" t="s">
        <v>104</v>
      </c>
      <c r="AW110">
        <v>-1</v>
      </c>
      <c r="AX110">
        <v>-1</v>
      </c>
      <c r="AZ110">
        <v>1095817</v>
      </c>
      <c r="BA110">
        <v>1095817</v>
      </c>
      <c r="BB110">
        <v>1079296</v>
      </c>
      <c r="BC110" t="s">
        <v>114</v>
      </c>
      <c r="BD110" t="s">
        <v>115</v>
      </c>
      <c r="BE110" t="s">
        <v>116</v>
      </c>
      <c r="BH110" t="b">
        <v>0</v>
      </c>
      <c r="BI110">
        <v>0</v>
      </c>
      <c r="BJ110">
        <v>10000</v>
      </c>
      <c r="BK110" t="b">
        <v>0</v>
      </c>
      <c r="BL110" t="b">
        <v>0</v>
      </c>
      <c r="BN110" t="b">
        <v>0</v>
      </c>
      <c r="BO110" t="s">
        <v>117</v>
      </c>
      <c r="BP110">
        <v>8</v>
      </c>
      <c r="BQ110" t="s">
        <v>115</v>
      </c>
      <c r="BR110" t="s">
        <v>118</v>
      </c>
      <c r="BT110" t="s">
        <v>894</v>
      </c>
      <c r="BU110" t="s">
        <v>895</v>
      </c>
      <c r="BV110" t="s">
        <v>895</v>
      </c>
      <c r="BW110" t="s">
        <v>895</v>
      </c>
      <c r="BY110" t="s">
        <v>1359</v>
      </c>
      <c r="BZ110" t="s">
        <v>1360</v>
      </c>
      <c r="CH110" t="s">
        <v>121</v>
      </c>
      <c r="CI110" t="s">
        <v>803</v>
      </c>
      <c r="CJ110" t="s">
        <v>804</v>
      </c>
      <c r="CK110" t="s">
        <v>896</v>
      </c>
      <c r="CL110" t="s">
        <v>1361</v>
      </c>
      <c r="CM110" t="s">
        <v>126</v>
      </c>
      <c r="CO110" t="s">
        <v>897</v>
      </c>
      <c r="CP110" t="s">
        <v>898</v>
      </c>
      <c r="CQ110" t="s">
        <v>899</v>
      </c>
      <c r="CR110" t="s">
        <v>1478</v>
      </c>
      <c r="CS110" t="s">
        <v>1331</v>
      </c>
      <c r="CT110" t="s">
        <v>130</v>
      </c>
      <c r="CU110" t="s">
        <v>131</v>
      </c>
    </row>
    <row r="111" spans="1:99">
      <c r="A111" t="s">
        <v>900</v>
      </c>
      <c r="B111" t="s">
        <v>99</v>
      </c>
      <c r="C111" t="b">
        <v>0</v>
      </c>
      <c r="D111" t="b">
        <v>0</v>
      </c>
      <c r="E111" t="s">
        <v>100</v>
      </c>
      <c r="F111" t="s">
        <v>901</v>
      </c>
      <c r="G111" t="s">
        <v>102</v>
      </c>
      <c r="H111" t="s">
        <v>103</v>
      </c>
      <c r="I111" t="s">
        <v>100</v>
      </c>
      <c r="J111" t="b">
        <v>0</v>
      </c>
      <c r="K111" s="41">
        <v>45776.533101851863</v>
      </c>
      <c r="N111">
        <v>0</v>
      </c>
      <c r="O111" s="41">
        <v>44036.69568287037</v>
      </c>
      <c r="P111" s="41">
        <v>45928.248287037037</v>
      </c>
      <c r="Q111" s="42">
        <v>2</v>
      </c>
      <c r="R111" t="s">
        <v>105</v>
      </c>
      <c r="S111" s="42">
        <v>8192</v>
      </c>
      <c r="T111">
        <v>1064</v>
      </c>
      <c r="U111">
        <v>3</v>
      </c>
      <c r="V111">
        <v>3</v>
      </c>
      <c r="W111" s="42">
        <v>225280</v>
      </c>
      <c r="Y111" t="s">
        <v>791</v>
      </c>
      <c r="Z111" t="s">
        <v>106</v>
      </c>
      <c r="AB111" t="b">
        <v>1</v>
      </c>
      <c r="AC111" t="b">
        <v>1</v>
      </c>
      <c r="AD111" t="s">
        <v>902</v>
      </c>
      <c r="AE111" t="s">
        <v>793</v>
      </c>
      <c r="AF111" t="s">
        <v>794</v>
      </c>
      <c r="AG111" t="s">
        <v>795</v>
      </c>
      <c r="AM111">
        <v>1</v>
      </c>
      <c r="AN111">
        <v>16384</v>
      </c>
      <c r="AO111" t="s">
        <v>796</v>
      </c>
      <c r="AP111" t="s">
        <v>235</v>
      </c>
      <c r="AQ111" t="s">
        <v>236</v>
      </c>
      <c r="AS111" t="b">
        <v>1</v>
      </c>
      <c r="AT111" t="s">
        <v>113</v>
      </c>
      <c r="AV111" t="s">
        <v>104</v>
      </c>
      <c r="AW111">
        <v>-1</v>
      </c>
      <c r="AX111">
        <v>-1</v>
      </c>
      <c r="AZ111">
        <v>233581</v>
      </c>
      <c r="BA111">
        <v>233581</v>
      </c>
      <c r="BB111">
        <v>225280</v>
      </c>
      <c r="BC111" t="s">
        <v>114</v>
      </c>
      <c r="BD111" t="s">
        <v>115</v>
      </c>
      <c r="BE111" t="s">
        <v>116</v>
      </c>
      <c r="BH111" t="b">
        <v>0</v>
      </c>
      <c r="BI111">
        <v>0</v>
      </c>
      <c r="BJ111">
        <v>10000</v>
      </c>
      <c r="BK111" t="b">
        <v>0</v>
      </c>
      <c r="BL111" t="b">
        <v>0</v>
      </c>
      <c r="BN111" t="b">
        <v>0</v>
      </c>
      <c r="BO111" t="s">
        <v>117</v>
      </c>
      <c r="BP111">
        <v>15</v>
      </c>
      <c r="BQ111" t="s">
        <v>115</v>
      </c>
      <c r="BR111" t="s">
        <v>118</v>
      </c>
      <c r="BT111" t="s">
        <v>903</v>
      </c>
      <c r="BU111" t="s">
        <v>904</v>
      </c>
      <c r="BV111" t="s">
        <v>904</v>
      </c>
      <c r="BW111" t="s">
        <v>904</v>
      </c>
      <c r="BX111" t="s">
        <v>905</v>
      </c>
      <c r="BY111" t="s">
        <v>1744</v>
      </c>
      <c r="BZ111" t="s">
        <v>1745</v>
      </c>
      <c r="CA111" t="s">
        <v>906</v>
      </c>
      <c r="CH111" t="s">
        <v>121</v>
      </c>
      <c r="CI111" t="s">
        <v>803</v>
      </c>
      <c r="CJ111" t="s">
        <v>1356</v>
      </c>
      <c r="CK111" t="s">
        <v>627</v>
      </c>
      <c r="CL111" t="s">
        <v>160</v>
      </c>
      <c r="CM111" t="s">
        <v>126</v>
      </c>
      <c r="CO111" t="s">
        <v>906</v>
      </c>
      <c r="CP111" t="s">
        <v>907</v>
      </c>
      <c r="CQ111" t="s">
        <v>908</v>
      </c>
      <c r="CR111" t="s">
        <v>1478</v>
      </c>
      <c r="CS111" t="s">
        <v>1331</v>
      </c>
      <c r="CT111" t="s">
        <v>130</v>
      </c>
      <c r="CU111" t="s">
        <v>131</v>
      </c>
    </row>
    <row r="112" spans="1:99">
      <c r="A112" t="s">
        <v>909</v>
      </c>
      <c r="B112" t="s">
        <v>99</v>
      </c>
      <c r="C112" t="b">
        <v>0</v>
      </c>
      <c r="D112" t="b">
        <v>0</v>
      </c>
      <c r="E112" t="s">
        <v>100</v>
      </c>
      <c r="F112" t="s">
        <v>910</v>
      </c>
      <c r="G112" t="s">
        <v>102</v>
      </c>
      <c r="H112" t="s">
        <v>103</v>
      </c>
      <c r="I112" t="s">
        <v>100</v>
      </c>
      <c r="J112" t="b">
        <v>0</v>
      </c>
      <c r="K112" s="41">
        <v>45775.411712962959</v>
      </c>
      <c r="N112">
        <v>0</v>
      </c>
      <c r="O112" s="41">
        <v>44047.472002314818</v>
      </c>
      <c r="P112" s="41">
        <v>45925.470439814817</v>
      </c>
      <c r="Q112" s="42">
        <v>4</v>
      </c>
      <c r="R112" t="s">
        <v>105</v>
      </c>
      <c r="S112" s="42">
        <v>8192</v>
      </c>
      <c r="T112">
        <v>1392</v>
      </c>
      <c r="U112">
        <v>3</v>
      </c>
      <c r="V112">
        <v>1</v>
      </c>
      <c r="W112" s="42">
        <v>153600</v>
      </c>
      <c r="Y112" t="s">
        <v>791</v>
      </c>
      <c r="Z112" t="s">
        <v>106</v>
      </c>
      <c r="AC112" t="b">
        <v>1</v>
      </c>
      <c r="AD112" t="s">
        <v>1332</v>
      </c>
      <c r="AE112" t="s">
        <v>911</v>
      </c>
      <c r="AF112" t="s">
        <v>912</v>
      </c>
      <c r="AG112" t="s">
        <v>913</v>
      </c>
      <c r="AM112">
        <v>1</v>
      </c>
      <c r="AN112">
        <v>16384</v>
      </c>
      <c r="AO112" t="s">
        <v>796</v>
      </c>
      <c r="AP112" t="s">
        <v>235</v>
      </c>
      <c r="AQ112" t="s">
        <v>236</v>
      </c>
      <c r="AS112" t="b">
        <v>1</v>
      </c>
      <c r="AT112" t="s">
        <v>113</v>
      </c>
      <c r="AV112" t="s">
        <v>104</v>
      </c>
      <c r="AW112">
        <v>-1</v>
      </c>
      <c r="AX112">
        <v>-1</v>
      </c>
      <c r="AZ112">
        <v>161967</v>
      </c>
      <c r="BA112">
        <v>161967</v>
      </c>
      <c r="BB112">
        <v>153600</v>
      </c>
      <c r="BC112" t="s">
        <v>114</v>
      </c>
      <c r="BD112" t="s">
        <v>115</v>
      </c>
      <c r="BE112" t="s">
        <v>116</v>
      </c>
      <c r="BH112" t="b">
        <v>0</v>
      </c>
      <c r="BI112">
        <v>0</v>
      </c>
      <c r="BJ112">
        <v>10000</v>
      </c>
      <c r="BK112" t="b">
        <v>0</v>
      </c>
      <c r="BL112" t="b">
        <v>0</v>
      </c>
      <c r="BN112" t="b">
        <v>0</v>
      </c>
      <c r="BO112" t="s">
        <v>117</v>
      </c>
      <c r="BP112">
        <v>15</v>
      </c>
      <c r="BQ112" t="s">
        <v>115</v>
      </c>
      <c r="BR112" t="s">
        <v>118</v>
      </c>
      <c r="BT112" t="s">
        <v>914</v>
      </c>
      <c r="BU112" t="s">
        <v>915</v>
      </c>
      <c r="BV112" t="s">
        <v>915</v>
      </c>
      <c r="BW112" t="s">
        <v>915</v>
      </c>
      <c r="BX112" t="s">
        <v>916</v>
      </c>
      <c r="BY112" t="s">
        <v>1746</v>
      </c>
      <c r="BZ112" t="s">
        <v>1747</v>
      </c>
      <c r="CH112" t="s">
        <v>121</v>
      </c>
      <c r="CI112" t="s">
        <v>803</v>
      </c>
      <c r="CJ112" t="s">
        <v>1356</v>
      </c>
      <c r="CK112" t="s">
        <v>674</v>
      </c>
      <c r="CL112" t="s">
        <v>291</v>
      </c>
      <c r="CM112" t="s">
        <v>126</v>
      </c>
      <c r="CO112" t="s">
        <v>918</v>
      </c>
      <c r="CP112" t="s">
        <v>919</v>
      </c>
      <c r="CQ112" t="s">
        <v>920</v>
      </c>
      <c r="CR112" t="s">
        <v>1478</v>
      </c>
      <c r="CS112" t="s">
        <v>1331</v>
      </c>
      <c r="CT112" t="s">
        <v>130</v>
      </c>
      <c r="CU112" t="s">
        <v>131</v>
      </c>
    </row>
    <row r="113" spans="1:99" s="43" customFormat="1">
      <c r="A113" s="43" t="s">
        <v>1748</v>
      </c>
      <c r="B113" s="43" t="s">
        <v>304</v>
      </c>
      <c r="C113" s="43" t="b">
        <v>0</v>
      </c>
      <c r="D113" s="43" t="b">
        <v>0</v>
      </c>
      <c r="E113" s="43" t="s">
        <v>100</v>
      </c>
      <c r="F113" s="43" t="s">
        <v>922</v>
      </c>
      <c r="G113" s="43" t="s">
        <v>102</v>
      </c>
      <c r="H113" s="43" t="s">
        <v>305</v>
      </c>
      <c r="I113" s="43" t="s">
        <v>104</v>
      </c>
      <c r="J113" s="43" t="b">
        <v>0</v>
      </c>
      <c r="N113" s="43">
        <v>0</v>
      </c>
      <c r="O113" s="44">
        <v>44055.642847222232</v>
      </c>
      <c r="P113" s="44">
        <v>45729.629120370373</v>
      </c>
      <c r="Q113" s="45">
        <v>8</v>
      </c>
      <c r="S113" s="45">
        <v>16384</v>
      </c>
      <c r="T113" s="43">
        <v>0</v>
      </c>
      <c r="U113" s="43">
        <v>2</v>
      </c>
      <c r="V113" s="43">
        <v>2</v>
      </c>
      <c r="W113" s="45">
        <v>1150976</v>
      </c>
      <c r="X113" s="43" t="b">
        <v>0</v>
      </c>
      <c r="Z113" s="43" t="s">
        <v>106</v>
      </c>
      <c r="AE113" s="43" t="s">
        <v>1460</v>
      </c>
      <c r="AF113" s="43" t="s">
        <v>1749</v>
      </c>
      <c r="AM113" s="43">
        <v>1</v>
      </c>
      <c r="AN113" s="43">
        <v>16384</v>
      </c>
      <c r="AO113" s="43" t="s">
        <v>1463</v>
      </c>
      <c r="AP113" s="43" t="s">
        <v>1464</v>
      </c>
      <c r="AQ113" s="43" t="s">
        <v>1158</v>
      </c>
      <c r="AT113" s="43" t="s">
        <v>113</v>
      </c>
      <c r="AV113" s="43" t="s">
        <v>104</v>
      </c>
      <c r="AW113" s="43">
        <v>-1</v>
      </c>
      <c r="AX113" s="43">
        <v>-1</v>
      </c>
      <c r="AZ113" s="43">
        <v>1168512</v>
      </c>
      <c r="BA113" s="43">
        <v>1151847</v>
      </c>
      <c r="BB113" s="43">
        <v>1150976</v>
      </c>
      <c r="BC113" s="43" t="s">
        <v>114</v>
      </c>
      <c r="BD113" s="43" t="s">
        <v>115</v>
      </c>
      <c r="BE113" s="43" t="s">
        <v>116</v>
      </c>
      <c r="BH113" s="43" t="b">
        <v>0</v>
      </c>
      <c r="BI113" s="43">
        <v>0</v>
      </c>
      <c r="BJ113" s="43">
        <v>10000</v>
      </c>
      <c r="BK113" s="43" t="b">
        <v>0</v>
      </c>
      <c r="BL113" s="43" t="b">
        <v>0</v>
      </c>
      <c r="BN113" s="43" t="b">
        <v>0</v>
      </c>
      <c r="BO113" s="43" t="s">
        <v>117</v>
      </c>
      <c r="BP113" s="43">
        <v>19</v>
      </c>
      <c r="BQ113" s="43" t="s">
        <v>115</v>
      </c>
      <c r="BR113" s="43" t="s">
        <v>118</v>
      </c>
      <c r="BT113" s="43" t="s">
        <v>1750</v>
      </c>
      <c r="BU113" s="43" t="s">
        <v>1751</v>
      </c>
      <c r="BV113" s="43" t="s">
        <v>1751</v>
      </c>
      <c r="BW113" s="43" t="s">
        <v>1751</v>
      </c>
      <c r="CH113" s="43" t="s">
        <v>1386</v>
      </c>
      <c r="CI113" s="43" t="s">
        <v>1467</v>
      </c>
      <c r="CJ113" s="43" t="s">
        <v>1752</v>
      </c>
      <c r="CK113" s="43" t="s">
        <v>674</v>
      </c>
      <c r="CO113" s="43" t="s">
        <v>1753</v>
      </c>
      <c r="CP113" s="43" t="s">
        <v>1754</v>
      </c>
      <c r="CQ113" s="43" t="s">
        <v>1755</v>
      </c>
      <c r="CR113" s="43" t="s">
        <v>1330</v>
      </c>
      <c r="CS113" s="43" t="s">
        <v>1331</v>
      </c>
      <c r="CT113" s="43" t="s">
        <v>1160</v>
      </c>
      <c r="CU113" s="43" t="s">
        <v>1161</v>
      </c>
    </row>
    <row r="114" spans="1:99">
      <c r="A114" t="s">
        <v>921</v>
      </c>
      <c r="B114" t="s">
        <v>99</v>
      </c>
      <c r="C114" t="b">
        <v>0</v>
      </c>
      <c r="D114" t="b">
        <v>0</v>
      </c>
      <c r="E114" t="s">
        <v>100</v>
      </c>
      <c r="F114" t="s">
        <v>922</v>
      </c>
      <c r="G114" t="s">
        <v>102</v>
      </c>
      <c r="H114" t="s">
        <v>103</v>
      </c>
      <c r="I114" t="s">
        <v>104</v>
      </c>
      <c r="J114" t="b">
        <v>0</v>
      </c>
      <c r="K114" s="41">
        <v>45775.903368055559</v>
      </c>
      <c r="N114">
        <v>0</v>
      </c>
      <c r="O114" s="41">
        <v>44126.699386574073</v>
      </c>
      <c r="P114" s="41">
        <v>45931.099872685183</v>
      </c>
      <c r="Q114" s="42">
        <v>8</v>
      </c>
      <c r="R114" t="s">
        <v>105</v>
      </c>
      <c r="S114" s="42">
        <v>16384</v>
      </c>
      <c r="T114">
        <v>1310</v>
      </c>
      <c r="U114">
        <v>3</v>
      </c>
      <c r="V114">
        <v>2</v>
      </c>
      <c r="W114" s="42">
        <v>1079296</v>
      </c>
      <c r="Y114" t="s">
        <v>492</v>
      </c>
      <c r="Z114" t="s">
        <v>106</v>
      </c>
      <c r="AC114" t="b">
        <v>1</v>
      </c>
      <c r="AD114" t="s">
        <v>923</v>
      </c>
      <c r="AE114" t="s">
        <v>893</v>
      </c>
      <c r="AF114" t="s">
        <v>793</v>
      </c>
      <c r="AG114" t="s">
        <v>892</v>
      </c>
      <c r="AM114">
        <v>1</v>
      </c>
      <c r="AN114">
        <v>16384</v>
      </c>
      <c r="AO114" t="s">
        <v>796</v>
      </c>
      <c r="AP114" t="s">
        <v>235</v>
      </c>
      <c r="AQ114" s="46" t="s">
        <v>236</v>
      </c>
      <c r="AS114" t="b">
        <v>1</v>
      </c>
      <c r="AT114" t="s">
        <v>113</v>
      </c>
      <c r="AV114" t="s">
        <v>104</v>
      </c>
      <c r="AW114">
        <v>-1</v>
      </c>
      <c r="AX114">
        <v>-1</v>
      </c>
      <c r="AZ114">
        <v>1095785</v>
      </c>
      <c r="BA114">
        <v>1095785</v>
      </c>
      <c r="BB114">
        <v>1079296</v>
      </c>
      <c r="BC114" t="s">
        <v>114</v>
      </c>
      <c r="BD114" t="s">
        <v>115</v>
      </c>
      <c r="BE114" t="s">
        <v>116</v>
      </c>
      <c r="BH114" t="b">
        <v>0</v>
      </c>
      <c r="BI114">
        <v>0</v>
      </c>
      <c r="BJ114">
        <v>10000</v>
      </c>
      <c r="BK114" t="b">
        <v>0</v>
      </c>
      <c r="BL114" t="b">
        <v>0</v>
      </c>
      <c r="BN114" t="b">
        <v>0</v>
      </c>
      <c r="BO114" t="s">
        <v>117</v>
      </c>
      <c r="BP114">
        <v>8</v>
      </c>
      <c r="BQ114" t="s">
        <v>115</v>
      </c>
      <c r="BR114" t="s">
        <v>118</v>
      </c>
      <c r="BT114" t="s">
        <v>924</v>
      </c>
      <c r="BU114" t="s">
        <v>925</v>
      </c>
      <c r="BV114" t="s">
        <v>925</v>
      </c>
      <c r="BW114" t="s">
        <v>925</v>
      </c>
      <c r="BY114" t="s">
        <v>1362</v>
      </c>
      <c r="BZ114" t="s">
        <v>1363</v>
      </c>
      <c r="CH114" t="s">
        <v>121</v>
      </c>
      <c r="CI114" t="s">
        <v>803</v>
      </c>
      <c r="CJ114" t="s">
        <v>823</v>
      </c>
      <c r="CK114" t="s">
        <v>896</v>
      </c>
      <c r="CL114" t="s">
        <v>1361</v>
      </c>
      <c r="CM114" t="s">
        <v>126</v>
      </c>
      <c r="CO114" t="s">
        <v>926</v>
      </c>
      <c r="CP114" t="s">
        <v>927</v>
      </c>
      <c r="CQ114" t="s">
        <v>928</v>
      </c>
      <c r="CR114" t="s">
        <v>1478</v>
      </c>
      <c r="CS114" t="s">
        <v>1331</v>
      </c>
      <c r="CT114" t="s">
        <v>130</v>
      </c>
      <c r="CU114" t="s">
        <v>131</v>
      </c>
    </row>
    <row r="115" spans="1:99">
      <c r="A115" t="s">
        <v>929</v>
      </c>
      <c r="B115" t="s">
        <v>99</v>
      </c>
      <c r="C115" t="b">
        <v>0</v>
      </c>
      <c r="D115" t="b">
        <v>0</v>
      </c>
      <c r="E115" t="s">
        <v>100</v>
      </c>
      <c r="F115" t="s">
        <v>930</v>
      </c>
      <c r="G115" t="s">
        <v>102</v>
      </c>
      <c r="H115" t="s">
        <v>103</v>
      </c>
      <c r="I115" t="s">
        <v>100</v>
      </c>
      <c r="J115" t="b">
        <v>0</v>
      </c>
      <c r="K115" s="41">
        <v>45924.632361111107</v>
      </c>
      <c r="N115">
        <v>0</v>
      </c>
      <c r="O115" s="41">
        <v>44191.633773148147</v>
      </c>
      <c r="P115" s="41">
        <v>45908.826562499999</v>
      </c>
      <c r="Q115" s="42">
        <v>8</v>
      </c>
      <c r="S115" s="42">
        <v>32768</v>
      </c>
      <c r="T115">
        <v>2949</v>
      </c>
      <c r="U115">
        <v>3</v>
      </c>
      <c r="V115">
        <v>5</v>
      </c>
      <c r="W115" s="42">
        <v>1433600</v>
      </c>
      <c r="Y115" t="s">
        <v>492</v>
      </c>
      <c r="Z115" t="s">
        <v>106</v>
      </c>
      <c r="AC115" t="b">
        <v>1</v>
      </c>
      <c r="AD115" t="s">
        <v>1364</v>
      </c>
      <c r="AE115" t="s">
        <v>494</v>
      </c>
      <c r="AF115" t="s">
        <v>496</v>
      </c>
      <c r="AG115" t="s">
        <v>495</v>
      </c>
      <c r="AM115">
        <v>1</v>
      </c>
      <c r="AN115">
        <v>0</v>
      </c>
      <c r="AO115" t="s">
        <v>1355</v>
      </c>
      <c r="AP115" t="s">
        <v>235</v>
      </c>
      <c r="AQ115" t="s">
        <v>236</v>
      </c>
      <c r="AS115" t="b">
        <v>1</v>
      </c>
      <c r="AT115" t="s">
        <v>113</v>
      </c>
      <c r="AV115" t="s">
        <v>104</v>
      </c>
      <c r="AW115">
        <v>-1</v>
      </c>
      <c r="AX115">
        <v>-1</v>
      </c>
      <c r="AZ115">
        <v>1466476</v>
      </c>
      <c r="BA115">
        <v>1466476</v>
      </c>
      <c r="BB115">
        <v>1433600</v>
      </c>
      <c r="BC115" t="s">
        <v>114</v>
      </c>
      <c r="BD115" t="s">
        <v>115</v>
      </c>
      <c r="BE115" t="s">
        <v>116</v>
      </c>
      <c r="BH115" t="b">
        <v>0</v>
      </c>
      <c r="BI115">
        <v>0</v>
      </c>
      <c r="BJ115">
        <v>10000</v>
      </c>
      <c r="BK115" t="b">
        <v>0</v>
      </c>
      <c r="BL115" t="b">
        <v>0</v>
      </c>
      <c r="BN115" t="b">
        <v>0</v>
      </c>
      <c r="BO115" t="s">
        <v>117</v>
      </c>
      <c r="BP115">
        <v>15</v>
      </c>
      <c r="BQ115" t="s">
        <v>115</v>
      </c>
      <c r="BR115" t="s">
        <v>118</v>
      </c>
      <c r="BT115" t="s">
        <v>1756</v>
      </c>
      <c r="BU115" t="s">
        <v>1757</v>
      </c>
      <c r="BV115" t="s">
        <v>1757</v>
      </c>
      <c r="BW115" t="s">
        <v>1757</v>
      </c>
      <c r="BY115" t="s">
        <v>1758</v>
      </c>
      <c r="BZ115" t="s">
        <v>1759</v>
      </c>
      <c r="CH115" t="s">
        <v>121</v>
      </c>
      <c r="CI115" t="s">
        <v>501</v>
      </c>
      <c r="CJ115" t="s">
        <v>502</v>
      </c>
      <c r="CK115" t="s">
        <v>242</v>
      </c>
      <c r="CL115" t="s">
        <v>931</v>
      </c>
      <c r="CO115" t="s">
        <v>932</v>
      </c>
      <c r="CP115" t="s">
        <v>933</v>
      </c>
      <c r="CQ115" t="s">
        <v>934</v>
      </c>
      <c r="CR115" t="s">
        <v>1478</v>
      </c>
      <c r="CS115" t="s">
        <v>1331</v>
      </c>
      <c r="CT115" t="s">
        <v>130</v>
      </c>
      <c r="CU115" t="s">
        <v>131</v>
      </c>
    </row>
    <row r="116" spans="1:99">
      <c r="A116" t="s">
        <v>935</v>
      </c>
      <c r="B116" t="s">
        <v>99</v>
      </c>
      <c r="C116" t="b">
        <v>0</v>
      </c>
      <c r="D116" t="b">
        <v>0</v>
      </c>
      <c r="E116" t="s">
        <v>100</v>
      </c>
      <c r="F116" t="s">
        <v>936</v>
      </c>
      <c r="G116" t="s">
        <v>102</v>
      </c>
      <c r="H116" t="s">
        <v>103</v>
      </c>
      <c r="I116" t="s">
        <v>100</v>
      </c>
      <c r="J116" t="b">
        <v>0</v>
      </c>
      <c r="K116" s="41">
        <v>45617.158136574071</v>
      </c>
      <c r="N116">
        <v>0</v>
      </c>
      <c r="O116" s="41">
        <v>44945.412592592591</v>
      </c>
      <c r="P116" s="41">
        <v>45928.071423611109</v>
      </c>
      <c r="Q116" s="42">
        <v>4</v>
      </c>
      <c r="R116" t="s">
        <v>105</v>
      </c>
      <c r="S116" s="42">
        <v>8192</v>
      </c>
      <c r="T116">
        <v>81</v>
      </c>
      <c r="U116">
        <v>1</v>
      </c>
      <c r="V116">
        <v>1</v>
      </c>
      <c r="W116" s="42">
        <v>51200</v>
      </c>
      <c r="Y116" t="s">
        <v>791</v>
      </c>
      <c r="Z116" t="s">
        <v>106</v>
      </c>
      <c r="AC116" t="b">
        <v>1</v>
      </c>
      <c r="AD116" t="s">
        <v>937</v>
      </c>
      <c r="AE116" t="s">
        <v>912</v>
      </c>
      <c r="AM116">
        <v>1</v>
      </c>
      <c r="AN116">
        <v>4096</v>
      </c>
      <c r="AO116" t="s">
        <v>796</v>
      </c>
      <c r="AP116" t="s">
        <v>144</v>
      </c>
      <c r="AQ116" t="s">
        <v>145</v>
      </c>
      <c r="AS116" t="b">
        <v>1</v>
      </c>
      <c r="AT116" t="s">
        <v>113</v>
      </c>
      <c r="AV116" t="s">
        <v>104</v>
      </c>
      <c r="AW116">
        <v>-1</v>
      </c>
      <c r="AX116">
        <v>-1</v>
      </c>
      <c r="AZ116">
        <v>59487</v>
      </c>
      <c r="BA116">
        <v>59487</v>
      </c>
      <c r="BB116">
        <v>51200</v>
      </c>
      <c r="BC116" t="s">
        <v>114</v>
      </c>
      <c r="BD116" t="s">
        <v>115</v>
      </c>
      <c r="BE116" t="s">
        <v>116</v>
      </c>
      <c r="BH116" t="b">
        <v>0</v>
      </c>
      <c r="BI116">
        <v>0</v>
      </c>
      <c r="BJ116">
        <v>10000</v>
      </c>
      <c r="BK116" t="b">
        <v>0</v>
      </c>
      <c r="BL116" t="b">
        <v>0</v>
      </c>
      <c r="BN116" t="b">
        <v>0</v>
      </c>
      <c r="BO116" t="s">
        <v>117</v>
      </c>
      <c r="BP116">
        <v>19</v>
      </c>
      <c r="BQ116" t="s">
        <v>115</v>
      </c>
      <c r="BR116" t="s">
        <v>118</v>
      </c>
      <c r="BT116" t="s">
        <v>938</v>
      </c>
      <c r="BU116" t="s">
        <v>939</v>
      </c>
      <c r="BV116" t="s">
        <v>939</v>
      </c>
      <c r="BW116" t="s">
        <v>939</v>
      </c>
      <c r="BY116" t="s">
        <v>1760</v>
      </c>
      <c r="BZ116" t="s">
        <v>1761</v>
      </c>
      <c r="CH116" t="s">
        <v>121</v>
      </c>
      <c r="CI116" t="s">
        <v>803</v>
      </c>
      <c r="CJ116" t="s">
        <v>1356</v>
      </c>
      <c r="CK116" t="s">
        <v>940</v>
      </c>
      <c r="CL116" t="s">
        <v>940</v>
      </c>
      <c r="CM116" t="s">
        <v>126</v>
      </c>
      <c r="CO116" t="s">
        <v>941</v>
      </c>
      <c r="CP116" t="s">
        <v>942</v>
      </c>
      <c r="CQ116" t="s">
        <v>943</v>
      </c>
      <c r="CR116" t="s">
        <v>1478</v>
      </c>
      <c r="CS116" t="s">
        <v>1331</v>
      </c>
      <c r="CT116" t="s">
        <v>130</v>
      </c>
      <c r="CU116" t="s">
        <v>131</v>
      </c>
    </row>
    <row r="117" spans="1:99">
      <c r="A117" t="s">
        <v>944</v>
      </c>
      <c r="B117" t="s">
        <v>99</v>
      </c>
      <c r="C117" t="b">
        <v>0</v>
      </c>
      <c r="D117" t="b">
        <v>0</v>
      </c>
      <c r="E117" t="s">
        <v>100</v>
      </c>
      <c r="G117" t="s">
        <v>102</v>
      </c>
      <c r="H117" t="s">
        <v>305</v>
      </c>
      <c r="I117" t="s">
        <v>104</v>
      </c>
      <c r="J117" t="b">
        <v>0</v>
      </c>
      <c r="K117" s="41">
        <v>45775.034780092603</v>
      </c>
      <c r="N117">
        <v>0</v>
      </c>
      <c r="O117" s="41">
        <v>45035.479039351849</v>
      </c>
      <c r="P117" s="41">
        <v>45930.512060185189</v>
      </c>
      <c r="Q117" s="42">
        <v>12</v>
      </c>
      <c r="R117" t="s">
        <v>105</v>
      </c>
      <c r="S117" s="42">
        <v>18432</v>
      </c>
      <c r="T117">
        <v>737</v>
      </c>
      <c r="U117">
        <v>3</v>
      </c>
      <c r="V117">
        <v>1</v>
      </c>
      <c r="W117" s="42">
        <v>337920</v>
      </c>
      <c r="Y117" t="s">
        <v>791</v>
      </c>
      <c r="Z117" t="s">
        <v>106</v>
      </c>
      <c r="AC117" t="b">
        <v>1</v>
      </c>
      <c r="AE117" t="s">
        <v>793</v>
      </c>
      <c r="AF117" t="s">
        <v>945</v>
      </c>
      <c r="AG117" t="s">
        <v>794</v>
      </c>
      <c r="AM117">
        <v>1</v>
      </c>
      <c r="AN117">
        <v>4096</v>
      </c>
      <c r="AO117" t="s">
        <v>796</v>
      </c>
      <c r="AP117" t="s">
        <v>235</v>
      </c>
      <c r="AQ117" t="s">
        <v>236</v>
      </c>
      <c r="AS117" t="b">
        <v>1</v>
      </c>
      <c r="AT117" t="s">
        <v>113</v>
      </c>
      <c r="AV117" t="s">
        <v>104</v>
      </c>
      <c r="AW117">
        <v>-1</v>
      </c>
      <c r="AX117">
        <v>-1</v>
      </c>
      <c r="AZ117">
        <v>356444</v>
      </c>
      <c r="BA117">
        <v>356444</v>
      </c>
      <c r="BB117">
        <v>337920</v>
      </c>
      <c r="BC117" t="s">
        <v>114</v>
      </c>
      <c r="BD117" t="s">
        <v>115</v>
      </c>
      <c r="BE117" t="s">
        <v>116</v>
      </c>
      <c r="BH117" t="b">
        <v>0</v>
      </c>
      <c r="BI117">
        <v>0</v>
      </c>
      <c r="BJ117">
        <v>10000</v>
      </c>
      <c r="BK117" t="b">
        <v>0</v>
      </c>
      <c r="BL117" t="b">
        <v>0</v>
      </c>
      <c r="BN117" t="b">
        <v>0</v>
      </c>
      <c r="BO117" t="s">
        <v>117</v>
      </c>
      <c r="BP117">
        <v>14</v>
      </c>
      <c r="BQ117" t="s">
        <v>115</v>
      </c>
      <c r="BR117" t="s">
        <v>118</v>
      </c>
      <c r="BT117" t="s">
        <v>946</v>
      </c>
      <c r="BU117" t="s">
        <v>947</v>
      </c>
      <c r="BV117" t="s">
        <v>947</v>
      </c>
      <c r="BW117" t="s">
        <v>947</v>
      </c>
      <c r="BY117" t="s">
        <v>1762</v>
      </c>
      <c r="BZ117" t="s">
        <v>1763</v>
      </c>
      <c r="CH117" t="s">
        <v>121</v>
      </c>
      <c r="CI117" t="s">
        <v>803</v>
      </c>
      <c r="CJ117" t="s">
        <v>804</v>
      </c>
      <c r="CK117" t="s">
        <v>948</v>
      </c>
      <c r="CM117" t="s">
        <v>126</v>
      </c>
      <c r="CO117" t="s">
        <v>949</v>
      </c>
      <c r="CP117" t="s">
        <v>950</v>
      </c>
      <c r="CQ117" t="s">
        <v>951</v>
      </c>
      <c r="CR117" t="s">
        <v>1478</v>
      </c>
      <c r="CS117" t="s">
        <v>1331</v>
      </c>
      <c r="CT117" t="s">
        <v>130</v>
      </c>
      <c r="CU117" t="s">
        <v>131</v>
      </c>
    </row>
    <row r="118" spans="1:99">
      <c r="A118" t="s">
        <v>952</v>
      </c>
      <c r="B118" t="s">
        <v>99</v>
      </c>
      <c r="C118" t="b">
        <v>0</v>
      </c>
      <c r="D118" t="b">
        <v>0</v>
      </c>
      <c r="E118" t="s">
        <v>100</v>
      </c>
      <c r="F118" t="s">
        <v>953</v>
      </c>
      <c r="G118" t="s">
        <v>102</v>
      </c>
      <c r="H118" t="s">
        <v>103</v>
      </c>
      <c r="I118" t="s">
        <v>100</v>
      </c>
      <c r="J118" t="b">
        <v>0</v>
      </c>
      <c r="K118" s="41">
        <v>45780.501111111109</v>
      </c>
      <c r="N118">
        <v>0</v>
      </c>
      <c r="O118" s="41">
        <v>44145.618067129632</v>
      </c>
      <c r="P118" s="41">
        <v>45925.593877314823</v>
      </c>
      <c r="Q118" s="42">
        <v>2</v>
      </c>
      <c r="R118" t="s">
        <v>105</v>
      </c>
      <c r="S118" s="42">
        <v>16384</v>
      </c>
      <c r="T118">
        <v>491</v>
      </c>
      <c r="U118">
        <v>3</v>
      </c>
      <c r="V118">
        <v>3</v>
      </c>
      <c r="W118" s="42">
        <v>307200</v>
      </c>
      <c r="Y118" t="s">
        <v>791</v>
      </c>
      <c r="Z118" t="s">
        <v>106</v>
      </c>
      <c r="AB118" t="b">
        <v>1</v>
      </c>
      <c r="AC118" t="b">
        <v>1</v>
      </c>
      <c r="AD118" t="s">
        <v>954</v>
      </c>
      <c r="AE118" t="s">
        <v>793</v>
      </c>
      <c r="AF118" t="s">
        <v>794</v>
      </c>
      <c r="AG118" t="s">
        <v>945</v>
      </c>
      <c r="AM118">
        <v>1</v>
      </c>
      <c r="AN118">
        <v>16384</v>
      </c>
      <c r="AO118" t="s">
        <v>796</v>
      </c>
      <c r="AP118" t="s">
        <v>235</v>
      </c>
      <c r="AQ118" t="s">
        <v>236</v>
      </c>
      <c r="AS118" t="b">
        <v>1</v>
      </c>
      <c r="AT118" t="s">
        <v>113</v>
      </c>
      <c r="AV118" t="s">
        <v>104</v>
      </c>
      <c r="AW118">
        <v>-1</v>
      </c>
      <c r="AX118">
        <v>-1</v>
      </c>
      <c r="AZ118">
        <v>323712</v>
      </c>
      <c r="BA118">
        <v>323712</v>
      </c>
      <c r="BB118">
        <v>307200</v>
      </c>
      <c r="BC118" t="s">
        <v>114</v>
      </c>
      <c r="BD118" t="s">
        <v>115</v>
      </c>
      <c r="BE118" t="s">
        <v>116</v>
      </c>
      <c r="BH118" t="b">
        <v>0</v>
      </c>
      <c r="BI118">
        <v>0</v>
      </c>
      <c r="BJ118">
        <v>10000</v>
      </c>
      <c r="BK118" t="b">
        <v>0</v>
      </c>
      <c r="BL118" t="b">
        <v>0</v>
      </c>
      <c r="BN118" t="b">
        <v>0</v>
      </c>
      <c r="BO118" t="s">
        <v>117</v>
      </c>
      <c r="BP118">
        <v>15</v>
      </c>
      <c r="BQ118" t="s">
        <v>115</v>
      </c>
      <c r="BR118" t="s">
        <v>118</v>
      </c>
      <c r="BT118" t="s">
        <v>955</v>
      </c>
      <c r="BU118" t="s">
        <v>956</v>
      </c>
      <c r="BV118" t="s">
        <v>956</v>
      </c>
      <c r="BW118" t="s">
        <v>956</v>
      </c>
      <c r="BX118" t="s">
        <v>822</v>
      </c>
      <c r="BY118" t="s">
        <v>1764</v>
      </c>
      <c r="BZ118" t="s">
        <v>1765</v>
      </c>
      <c r="CH118" t="s">
        <v>121</v>
      </c>
      <c r="CI118" t="s">
        <v>803</v>
      </c>
      <c r="CJ118" t="s">
        <v>823</v>
      </c>
      <c r="CK118" t="s">
        <v>627</v>
      </c>
      <c r="CL118" t="s">
        <v>627</v>
      </c>
      <c r="CM118" t="s">
        <v>126</v>
      </c>
      <c r="CO118" t="s">
        <v>957</v>
      </c>
      <c r="CP118" t="s">
        <v>958</v>
      </c>
      <c r="CQ118" t="s">
        <v>959</v>
      </c>
      <c r="CR118" t="s">
        <v>1478</v>
      </c>
      <c r="CS118" t="s">
        <v>1331</v>
      </c>
      <c r="CT118" t="s">
        <v>130</v>
      </c>
      <c r="CU118" t="s">
        <v>131</v>
      </c>
    </row>
    <row r="119" spans="1:99">
      <c r="A119" t="s">
        <v>960</v>
      </c>
      <c r="B119" t="s">
        <v>99</v>
      </c>
      <c r="C119" t="b">
        <v>0</v>
      </c>
      <c r="D119" t="b">
        <v>0</v>
      </c>
      <c r="E119" t="s">
        <v>100</v>
      </c>
      <c r="F119" t="s">
        <v>961</v>
      </c>
      <c r="G119" t="s">
        <v>102</v>
      </c>
      <c r="H119" t="s">
        <v>103</v>
      </c>
      <c r="I119" t="s">
        <v>100</v>
      </c>
      <c r="J119" t="b">
        <v>0</v>
      </c>
      <c r="K119" s="41">
        <v>45776.525659722232</v>
      </c>
      <c r="N119">
        <v>0</v>
      </c>
      <c r="O119" s="41">
        <v>44453.57545138889</v>
      </c>
      <c r="P119" s="41">
        <v>45921.044004629628</v>
      </c>
      <c r="Q119" s="42">
        <v>8</v>
      </c>
      <c r="R119" t="s">
        <v>105</v>
      </c>
      <c r="S119" s="42">
        <v>16384</v>
      </c>
      <c r="T119">
        <v>1966</v>
      </c>
      <c r="U119">
        <v>3</v>
      </c>
      <c r="V119">
        <v>2</v>
      </c>
      <c r="W119" s="42">
        <v>182272</v>
      </c>
      <c r="Y119" t="s">
        <v>477</v>
      </c>
      <c r="Z119" t="s">
        <v>106</v>
      </c>
      <c r="AC119" t="b">
        <v>1</v>
      </c>
      <c r="AD119" t="s">
        <v>962</v>
      </c>
      <c r="AE119" t="s">
        <v>507</v>
      </c>
      <c r="AF119" t="s">
        <v>963</v>
      </c>
      <c r="AG119" t="s">
        <v>964</v>
      </c>
      <c r="AM119">
        <v>1</v>
      </c>
      <c r="AN119">
        <v>16384</v>
      </c>
      <c r="AO119" t="s">
        <v>482</v>
      </c>
      <c r="AP119" t="s">
        <v>235</v>
      </c>
      <c r="AQ119" t="s">
        <v>236</v>
      </c>
      <c r="AS119" t="b">
        <v>1</v>
      </c>
      <c r="AT119" t="s">
        <v>113</v>
      </c>
      <c r="AV119" t="s">
        <v>104</v>
      </c>
      <c r="AW119">
        <v>-1</v>
      </c>
      <c r="AX119">
        <v>-1</v>
      </c>
      <c r="AZ119">
        <v>198923</v>
      </c>
      <c r="BA119">
        <v>198923</v>
      </c>
      <c r="BB119">
        <v>182272</v>
      </c>
      <c r="BC119" t="s">
        <v>114</v>
      </c>
      <c r="BD119" t="s">
        <v>115</v>
      </c>
      <c r="BE119" t="s">
        <v>116</v>
      </c>
      <c r="BH119" t="b">
        <v>0</v>
      </c>
      <c r="BI119">
        <v>0</v>
      </c>
      <c r="BJ119">
        <v>10000</v>
      </c>
      <c r="BK119" t="b">
        <v>0</v>
      </c>
      <c r="BL119" t="b">
        <v>0</v>
      </c>
      <c r="BN119" t="b">
        <v>0</v>
      </c>
      <c r="BO119" t="s">
        <v>117</v>
      </c>
      <c r="BP119">
        <v>15</v>
      </c>
      <c r="BQ119" t="s">
        <v>115</v>
      </c>
      <c r="BR119" t="s">
        <v>118</v>
      </c>
      <c r="BT119" t="s">
        <v>965</v>
      </c>
      <c r="BU119" t="s">
        <v>966</v>
      </c>
      <c r="BV119" t="s">
        <v>966</v>
      </c>
      <c r="BW119" t="s">
        <v>966</v>
      </c>
      <c r="BY119" t="s">
        <v>1766</v>
      </c>
      <c r="BZ119" t="s">
        <v>1767</v>
      </c>
      <c r="CH119" t="s">
        <v>121</v>
      </c>
      <c r="CI119" t="s">
        <v>486</v>
      </c>
      <c r="CJ119" t="s">
        <v>673</v>
      </c>
      <c r="CK119" t="s">
        <v>320</v>
      </c>
      <c r="CL119" t="s">
        <v>320</v>
      </c>
      <c r="CM119" t="s">
        <v>126</v>
      </c>
      <c r="CO119" t="s">
        <v>967</v>
      </c>
      <c r="CP119" t="s">
        <v>968</v>
      </c>
      <c r="CQ119" t="s">
        <v>969</v>
      </c>
      <c r="CR119" t="s">
        <v>1478</v>
      </c>
      <c r="CS119" t="s">
        <v>1331</v>
      </c>
      <c r="CT119" t="s">
        <v>130</v>
      </c>
      <c r="CU119" t="s">
        <v>131</v>
      </c>
    </row>
    <row r="120" spans="1:99">
      <c r="A120" t="s">
        <v>970</v>
      </c>
      <c r="B120" t="s">
        <v>99</v>
      </c>
      <c r="C120" t="b">
        <v>0</v>
      </c>
      <c r="D120" t="b">
        <v>0</v>
      </c>
      <c r="E120" t="s">
        <v>100</v>
      </c>
      <c r="F120" t="s">
        <v>971</v>
      </c>
      <c r="G120" t="s">
        <v>102</v>
      </c>
      <c r="H120" t="s">
        <v>103</v>
      </c>
      <c r="I120" t="s">
        <v>100</v>
      </c>
      <c r="J120" t="b">
        <v>0</v>
      </c>
      <c r="K120" s="41">
        <v>45857.875590277778</v>
      </c>
      <c r="N120">
        <v>0</v>
      </c>
      <c r="O120" s="41">
        <v>44452.936099537037</v>
      </c>
      <c r="P120" s="41">
        <v>45930.401192129633</v>
      </c>
      <c r="Q120" s="42">
        <v>4</v>
      </c>
      <c r="R120" t="s">
        <v>105</v>
      </c>
      <c r="S120" s="42">
        <v>12288</v>
      </c>
      <c r="T120">
        <v>2088</v>
      </c>
      <c r="U120">
        <v>3</v>
      </c>
      <c r="V120">
        <v>3</v>
      </c>
      <c r="W120" s="42">
        <v>204800</v>
      </c>
      <c r="Y120" t="s">
        <v>791</v>
      </c>
      <c r="Z120" t="s">
        <v>106</v>
      </c>
      <c r="AB120" t="b">
        <v>1</v>
      </c>
      <c r="AC120" t="b">
        <v>1</v>
      </c>
      <c r="AD120" t="s">
        <v>972</v>
      </c>
      <c r="AE120" t="s">
        <v>963</v>
      </c>
      <c r="AF120" t="s">
        <v>623</v>
      </c>
      <c r="AG120" t="s">
        <v>537</v>
      </c>
      <c r="AM120">
        <v>1</v>
      </c>
      <c r="AN120">
        <v>16384</v>
      </c>
      <c r="AO120" t="s">
        <v>482</v>
      </c>
      <c r="AP120" t="s">
        <v>144</v>
      </c>
      <c r="AQ120" t="s">
        <v>145</v>
      </c>
      <c r="AS120" t="b">
        <v>1</v>
      </c>
      <c r="AT120" t="s">
        <v>113</v>
      </c>
      <c r="AV120" t="s">
        <v>104</v>
      </c>
      <c r="AW120">
        <v>-1</v>
      </c>
      <c r="AX120">
        <v>-1</v>
      </c>
      <c r="AZ120">
        <v>217198</v>
      </c>
      <c r="BA120">
        <v>217198</v>
      </c>
      <c r="BB120">
        <v>204800</v>
      </c>
      <c r="BC120" t="s">
        <v>114</v>
      </c>
      <c r="BD120" t="s">
        <v>115</v>
      </c>
      <c r="BE120" t="s">
        <v>116</v>
      </c>
      <c r="BH120" t="b">
        <v>0</v>
      </c>
      <c r="BI120">
        <v>0</v>
      </c>
      <c r="BJ120">
        <v>10000</v>
      </c>
      <c r="BK120" t="b">
        <v>0</v>
      </c>
      <c r="BL120" t="b">
        <v>0</v>
      </c>
      <c r="BN120" t="b">
        <v>0</v>
      </c>
      <c r="BO120" t="s">
        <v>117</v>
      </c>
      <c r="BP120">
        <v>19</v>
      </c>
      <c r="BQ120" t="s">
        <v>115</v>
      </c>
      <c r="BR120" t="s">
        <v>118</v>
      </c>
      <c r="BT120" t="s">
        <v>973</v>
      </c>
      <c r="BU120" t="s">
        <v>974</v>
      </c>
      <c r="BV120" t="s">
        <v>974</v>
      </c>
      <c r="BW120" t="s">
        <v>974</v>
      </c>
      <c r="BY120" t="s">
        <v>1768</v>
      </c>
      <c r="BZ120" t="s">
        <v>1769</v>
      </c>
      <c r="CA120" t="s">
        <v>975</v>
      </c>
      <c r="CH120" t="s">
        <v>121</v>
      </c>
      <c r="CI120" t="s">
        <v>486</v>
      </c>
      <c r="CJ120" t="s">
        <v>847</v>
      </c>
      <c r="CK120" t="s">
        <v>160</v>
      </c>
      <c r="CL120" t="s">
        <v>160</v>
      </c>
      <c r="CM120" t="s">
        <v>126</v>
      </c>
      <c r="CO120" t="s">
        <v>975</v>
      </c>
      <c r="CP120" t="s">
        <v>976</v>
      </c>
      <c r="CQ120" t="s">
        <v>977</v>
      </c>
      <c r="CR120" t="s">
        <v>1478</v>
      </c>
      <c r="CS120" t="s">
        <v>1331</v>
      </c>
      <c r="CT120" t="s">
        <v>130</v>
      </c>
      <c r="CU120" t="s">
        <v>131</v>
      </c>
    </row>
    <row r="121" spans="1:99">
      <c r="A121" t="s">
        <v>978</v>
      </c>
      <c r="B121" t="s">
        <v>99</v>
      </c>
      <c r="C121" t="b">
        <v>0</v>
      </c>
      <c r="D121" t="b">
        <v>0</v>
      </c>
      <c r="E121" t="s">
        <v>100</v>
      </c>
      <c r="F121" t="s">
        <v>979</v>
      </c>
      <c r="G121" t="s">
        <v>102</v>
      </c>
      <c r="H121" t="s">
        <v>103</v>
      </c>
      <c r="I121" t="s">
        <v>100</v>
      </c>
      <c r="J121" t="b">
        <v>0</v>
      </c>
      <c r="K121" s="41">
        <v>45794.474386574067</v>
      </c>
      <c r="N121">
        <v>0</v>
      </c>
      <c r="O121" s="41">
        <v>44890.89402777778</v>
      </c>
      <c r="P121" s="41">
        <v>45926.168726851851</v>
      </c>
      <c r="Q121" s="42">
        <v>8</v>
      </c>
      <c r="R121" t="s">
        <v>105</v>
      </c>
      <c r="S121" s="42">
        <v>32768</v>
      </c>
      <c r="T121">
        <v>2949</v>
      </c>
      <c r="U121">
        <v>3</v>
      </c>
      <c r="V121">
        <v>7</v>
      </c>
      <c r="W121" s="42">
        <v>1006592</v>
      </c>
      <c r="Y121" t="s">
        <v>1340</v>
      </c>
      <c r="Z121" t="s">
        <v>106</v>
      </c>
      <c r="AB121" t="b">
        <v>1</v>
      </c>
      <c r="AC121" t="b">
        <v>1</v>
      </c>
      <c r="AD121" t="s">
        <v>980</v>
      </c>
      <c r="AE121" t="s">
        <v>981</v>
      </c>
      <c r="AF121" t="s">
        <v>110</v>
      </c>
      <c r="AG121" t="s">
        <v>109</v>
      </c>
      <c r="AM121">
        <v>1</v>
      </c>
      <c r="AN121">
        <v>16384</v>
      </c>
      <c r="AO121" t="s">
        <v>1392</v>
      </c>
      <c r="AP121" t="s">
        <v>111</v>
      </c>
      <c r="AQ121" t="s">
        <v>112</v>
      </c>
      <c r="AS121" t="b">
        <v>1</v>
      </c>
      <c r="AT121" t="s">
        <v>113</v>
      </c>
      <c r="AV121" t="s">
        <v>104</v>
      </c>
      <c r="AW121">
        <v>-1</v>
      </c>
      <c r="AX121">
        <v>-1</v>
      </c>
      <c r="AZ121">
        <v>1039481</v>
      </c>
      <c r="BA121">
        <v>1039481</v>
      </c>
      <c r="BB121">
        <v>1006592</v>
      </c>
      <c r="BC121" t="s">
        <v>114</v>
      </c>
      <c r="BD121" t="s">
        <v>115</v>
      </c>
      <c r="BE121" t="s">
        <v>116</v>
      </c>
      <c r="BH121" t="b">
        <v>0</v>
      </c>
      <c r="BI121">
        <v>0</v>
      </c>
      <c r="BJ121">
        <v>10000</v>
      </c>
      <c r="BK121" t="b">
        <v>0</v>
      </c>
      <c r="BL121" t="b">
        <v>0</v>
      </c>
      <c r="BN121" t="b">
        <v>0</v>
      </c>
      <c r="BO121" t="s">
        <v>117</v>
      </c>
      <c r="BP121">
        <v>19</v>
      </c>
      <c r="BQ121" t="s">
        <v>115</v>
      </c>
      <c r="BR121" t="s">
        <v>118</v>
      </c>
      <c r="BT121" t="s">
        <v>982</v>
      </c>
      <c r="BU121" t="s">
        <v>983</v>
      </c>
      <c r="BV121" t="s">
        <v>983</v>
      </c>
      <c r="BW121" t="s">
        <v>983</v>
      </c>
      <c r="BY121" t="s">
        <v>1770</v>
      </c>
      <c r="BZ121" t="s">
        <v>1771</v>
      </c>
      <c r="CD121" t="s">
        <v>984</v>
      </c>
      <c r="CH121" t="s">
        <v>121</v>
      </c>
      <c r="CI121" t="s">
        <v>122</v>
      </c>
      <c r="CJ121" t="s">
        <v>200</v>
      </c>
      <c r="CK121" t="s">
        <v>465</v>
      </c>
      <c r="CL121" t="s">
        <v>465</v>
      </c>
      <c r="CM121" t="s">
        <v>126</v>
      </c>
      <c r="CO121" t="s">
        <v>985</v>
      </c>
      <c r="CP121" t="s">
        <v>986</v>
      </c>
      <c r="CQ121" t="s">
        <v>987</v>
      </c>
      <c r="CR121" t="s">
        <v>1478</v>
      </c>
      <c r="CS121" t="s">
        <v>1331</v>
      </c>
      <c r="CT121" t="s">
        <v>130</v>
      </c>
      <c r="CU121" t="s">
        <v>131</v>
      </c>
    </row>
    <row r="122" spans="1:99">
      <c r="A122" t="s">
        <v>988</v>
      </c>
      <c r="B122" t="s">
        <v>99</v>
      </c>
      <c r="C122" t="b">
        <v>0</v>
      </c>
      <c r="D122" t="b">
        <v>0</v>
      </c>
      <c r="E122" t="s">
        <v>100</v>
      </c>
      <c r="F122" t="s">
        <v>989</v>
      </c>
      <c r="G122" t="s">
        <v>102</v>
      </c>
      <c r="H122" t="s">
        <v>103</v>
      </c>
      <c r="I122" t="s">
        <v>100</v>
      </c>
      <c r="J122" t="b">
        <v>0</v>
      </c>
      <c r="K122" s="41">
        <v>45787.556666666656</v>
      </c>
      <c r="N122">
        <v>0</v>
      </c>
      <c r="O122" s="41">
        <v>44890.895590277767</v>
      </c>
      <c r="P122" s="41">
        <v>45929.255543981482</v>
      </c>
      <c r="Q122" s="42">
        <v>4</v>
      </c>
      <c r="R122" t="s">
        <v>105</v>
      </c>
      <c r="S122" s="42">
        <v>16384</v>
      </c>
      <c r="T122">
        <v>1638</v>
      </c>
      <c r="U122">
        <v>3</v>
      </c>
      <c r="V122">
        <v>4</v>
      </c>
      <c r="W122" s="42">
        <v>11112448</v>
      </c>
      <c r="Y122" t="s">
        <v>1338</v>
      </c>
      <c r="Z122" t="s">
        <v>106</v>
      </c>
      <c r="AB122" t="b">
        <v>1</v>
      </c>
      <c r="AC122" t="b">
        <v>1</v>
      </c>
      <c r="AD122" t="s">
        <v>990</v>
      </c>
      <c r="AE122" t="s">
        <v>981</v>
      </c>
      <c r="AF122" t="s">
        <v>110</v>
      </c>
      <c r="AG122" t="s">
        <v>109</v>
      </c>
      <c r="AM122">
        <v>1</v>
      </c>
      <c r="AN122">
        <v>16384</v>
      </c>
      <c r="AO122" t="s">
        <v>1392</v>
      </c>
      <c r="AP122" t="s">
        <v>111</v>
      </c>
      <c r="AQ122" t="s">
        <v>112</v>
      </c>
      <c r="AS122" t="b">
        <v>1</v>
      </c>
      <c r="AT122" t="s">
        <v>113</v>
      </c>
      <c r="AV122" t="s">
        <v>104</v>
      </c>
      <c r="AW122">
        <v>-1</v>
      </c>
      <c r="AX122">
        <v>-1</v>
      </c>
      <c r="AZ122">
        <v>11128941</v>
      </c>
      <c r="BA122">
        <v>11128941</v>
      </c>
      <c r="BB122">
        <v>11112448</v>
      </c>
      <c r="BC122" t="s">
        <v>114</v>
      </c>
      <c r="BD122" t="s">
        <v>115</v>
      </c>
      <c r="BE122" t="s">
        <v>116</v>
      </c>
      <c r="BH122" t="b">
        <v>0</v>
      </c>
      <c r="BI122">
        <v>0</v>
      </c>
      <c r="BJ122">
        <v>10000</v>
      </c>
      <c r="BK122" t="b">
        <v>0</v>
      </c>
      <c r="BL122" t="b">
        <v>0</v>
      </c>
      <c r="BN122" t="b">
        <v>0</v>
      </c>
      <c r="BO122" t="s">
        <v>117</v>
      </c>
      <c r="BP122">
        <v>19</v>
      </c>
      <c r="BQ122" t="s">
        <v>115</v>
      </c>
      <c r="BR122" t="s">
        <v>118</v>
      </c>
      <c r="BT122" t="s">
        <v>991</v>
      </c>
      <c r="BU122" t="s">
        <v>992</v>
      </c>
      <c r="BV122" t="s">
        <v>992</v>
      </c>
      <c r="BW122" t="s">
        <v>992</v>
      </c>
      <c r="BY122" t="s">
        <v>1772</v>
      </c>
      <c r="BZ122" t="s">
        <v>1773</v>
      </c>
      <c r="CD122" t="s">
        <v>984</v>
      </c>
      <c r="CH122" t="s">
        <v>121</v>
      </c>
      <c r="CI122" t="s">
        <v>122</v>
      </c>
      <c r="CJ122" t="s">
        <v>1085</v>
      </c>
      <c r="CK122" t="s">
        <v>465</v>
      </c>
      <c r="CL122" t="s">
        <v>465</v>
      </c>
      <c r="CM122" t="s">
        <v>126</v>
      </c>
      <c r="CO122" t="s">
        <v>993</v>
      </c>
      <c r="CP122" t="s">
        <v>994</v>
      </c>
      <c r="CQ122" t="s">
        <v>995</v>
      </c>
      <c r="CR122" t="s">
        <v>1478</v>
      </c>
      <c r="CS122" t="s">
        <v>1331</v>
      </c>
      <c r="CT122" t="s">
        <v>130</v>
      </c>
      <c r="CU122" t="s">
        <v>131</v>
      </c>
    </row>
    <row r="123" spans="1:99">
      <c r="A123" t="s">
        <v>996</v>
      </c>
      <c r="B123" t="s">
        <v>99</v>
      </c>
      <c r="C123" t="b">
        <v>0</v>
      </c>
      <c r="D123" t="b">
        <v>0</v>
      </c>
      <c r="E123" t="s">
        <v>100</v>
      </c>
      <c r="F123" t="s">
        <v>997</v>
      </c>
      <c r="G123" t="s">
        <v>102</v>
      </c>
      <c r="H123" t="s">
        <v>103</v>
      </c>
      <c r="I123" t="s">
        <v>100</v>
      </c>
      <c r="J123" t="b">
        <v>0</v>
      </c>
      <c r="K123" s="41">
        <v>45877.907557870371</v>
      </c>
      <c r="N123">
        <v>0</v>
      </c>
      <c r="O123" s="41">
        <v>44972.499664351853</v>
      </c>
      <c r="P123" s="41">
        <v>45931.06322916667</v>
      </c>
      <c r="Q123" s="42">
        <v>4</v>
      </c>
      <c r="R123" t="s">
        <v>105</v>
      </c>
      <c r="S123" s="42">
        <v>16384</v>
      </c>
      <c r="T123">
        <v>1146</v>
      </c>
      <c r="U123">
        <v>3</v>
      </c>
      <c r="V123">
        <v>3</v>
      </c>
      <c r="W123" s="42">
        <v>327680</v>
      </c>
      <c r="Y123" t="s">
        <v>1340</v>
      </c>
      <c r="Z123" t="s">
        <v>106</v>
      </c>
      <c r="AB123" t="b">
        <v>1</v>
      </c>
      <c r="AC123" t="b">
        <v>1</v>
      </c>
      <c r="AD123" t="s">
        <v>998</v>
      </c>
      <c r="AE123" t="s">
        <v>981</v>
      </c>
      <c r="AF123" t="s">
        <v>109</v>
      </c>
      <c r="AG123" t="s">
        <v>110</v>
      </c>
      <c r="AM123">
        <v>1</v>
      </c>
      <c r="AN123">
        <v>8192</v>
      </c>
      <c r="AO123" t="s">
        <v>1392</v>
      </c>
      <c r="AP123" t="s">
        <v>235</v>
      </c>
      <c r="AQ123" t="s">
        <v>236</v>
      </c>
      <c r="AS123" t="b">
        <v>1</v>
      </c>
      <c r="AT123" t="s">
        <v>113</v>
      </c>
      <c r="AV123" t="s">
        <v>104</v>
      </c>
      <c r="AW123">
        <v>-1</v>
      </c>
      <c r="AX123">
        <v>-1</v>
      </c>
      <c r="AZ123">
        <v>344170</v>
      </c>
      <c r="BA123">
        <v>344170</v>
      </c>
      <c r="BB123">
        <v>327680</v>
      </c>
      <c r="BC123" t="s">
        <v>114</v>
      </c>
      <c r="BD123" t="s">
        <v>115</v>
      </c>
      <c r="BE123" t="s">
        <v>116</v>
      </c>
      <c r="BH123" t="b">
        <v>0</v>
      </c>
      <c r="BI123">
        <v>0</v>
      </c>
      <c r="BJ123">
        <v>10000</v>
      </c>
      <c r="BK123" t="b">
        <v>0</v>
      </c>
      <c r="BL123" t="b">
        <v>0</v>
      </c>
      <c r="BN123" t="b">
        <v>1</v>
      </c>
      <c r="BO123" t="s">
        <v>176</v>
      </c>
      <c r="BP123">
        <v>19</v>
      </c>
      <c r="BQ123" t="s">
        <v>115</v>
      </c>
      <c r="BR123" t="s">
        <v>118</v>
      </c>
      <c r="BT123" t="s">
        <v>999</v>
      </c>
      <c r="BU123" t="s">
        <v>1000</v>
      </c>
      <c r="BV123" t="s">
        <v>1000</v>
      </c>
      <c r="BW123" t="s">
        <v>1000</v>
      </c>
      <c r="BX123" t="s">
        <v>179</v>
      </c>
      <c r="BY123" t="s">
        <v>1774</v>
      </c>
      <c r="BZ123" t="s">
        <v>1775</v>
      </c>
      <c r="CA123" t="s">
        <v>1001</v>
      </c>
      <c r="CD123" t="s">
        <v>984</v>
      </c>
      <c r="CH123" t="s">
        <v>121</v>
      </c>
      <c r="CI123" t="s">
        <v>122</v>
      </c>
      <c r="CJ123" t="s">
        <v>1385</v>
      </c>
      <c r="CK123" t="s">
        <v>160</v>
      </c>
      <c r="CL123" t="s">
        <v>160</v>
      </c>
      <c r="CM123" t="s">
        <v>126</v>
      </c>
      <c r="CO123" t="s">
        <v>1001</v>
      </c>
      <c r="CP123" t="s">
        <v>1002</v>
      </c>
      <c r="CQ123" t="s">
        <v>1003</v>
      </c>
      <c r="CR123" t="s">
        <v>1478</v>
      </c>
      <c r="CS123" t="s">
        <v>1331</v>
      </c>
      <c r="CT123" t="s">
        <v>130</v>
      </c>
      <c r="CU123" t="s">
        <v>131</v>
      </c>
    </row>
    <row r="124" spans="1:99">
      <c r="A124" t="s">
        <v>1004</v>
      </c>
      <c r="B124" t="s">
        <v>99</v>
      </c>
      <c r="C124" t="b">
        <v>0</v>
      </c>
      <c r="D124" t="b">
        <v>0</v>
      </c>
      <c r="E124" t="s">
        <v>100</v>
      </c>
      <c r="F124" t="s">
        <v>1005</v>
      </c>
      <c r="G124" t="s">
        <v>102</v>
      </c>
      <c r="H124" t="s">
        <v>103</v>
      </c>
      <c r="I124" t="s">
        <v>100</v>
      </c>
      <c r="J124" t="b">
        <v>0</v>
      </c>
      <c r="K124" s="41">
        <v>45774.084780092591</v>
      </c>
      <c r="N124">
        <v>0</v>
      </c>
      <c r="O124" s="41">
        <v>44970.700520833343</v>
      </c>
      <c r="P124" s="41">
        <v>45930.63517361111</v>
      </c>
      <c r="Q124" s="42">
        <v>8</v>
      </c>
      <c r="R124" t="s">
        <v>105</v>
      </c>
      <c r="S124" s="42">
        <v>30720</v>
      </c>
      <c r="T124">
        <v>7680</v>
      </c>
      <c r="U124">
        <v>4</v>
      </c>
      <c r="V124">
        <v>4</v>
      </c>
      <c r="W124" s="42">
        <v>822272</v>
      </c>
      <c r="Y124" t="s">
        <v>1340</v>
      </c>
      <c r="Z124" t="s">
        <v>106</v>
      </c>
      <c r="AC124" t="b">
        <v>1</v>
      </c>
      <c r="AD124" t="s">
        <v>1006</v>
      </c>
      <c r="AE124" t="s">
        <v>981</v>
      </c>
      <c r="AF124" t="s">
        <v>109</v>
      </c>
      <c r="AG124" t="s">
        <v>110</v>
      </c>
      <c r="AH124" t="s">
        <v>1007</v>
      </c>
      <c r="AM124">
        <v>1</v>
      </c>
      <c r="AN124">
        <v>4096</v>
      </c>
      <c r="AO124" t="s">
        <v>1392</v>
      </c>
      <c r="AP124" t="s">
        <v>235</v>
      </c>
      <c r="AQ124" t="s">
        <v>236</v>
      </c>
      <c r="AS124" t="b">
        <v>1</v>
      </c>
      <c r="AT124" t="s">
        <v>113</v>
      </c>
      <c r="AV124" t="s">
        <v>104</v>
      </c>
      <c r="AW124">
        <v>-1</v>
      </c>
      <c r="AX124">
        <v>-1</v>
      </c>
      <c r="AZ124">
        <v>853113</v>
      </c>
      <c r="BA124">
        <v>853113</v>
      </c>
      <c r="BB124">
        <v>822272</v>
      </c>
      <c r="BC124" t="s">
        <v>114</v>
      </c>
      <c r="BD124" t="s">
        <v>115</v>
      </c>
      <c r="BE124" t="s">
        <v>116</v>
      </c>
      <c r="BH124" t="b">
        <v>0</v>
      </c>
      <c r="BI124">
        <v>0</v>
      </c>
      <c r="BJ124">
        <v>10000</v>
      </c>
      <c r="BK124" t="b">
        <v>0</v>
      </c>
      <c r="BL124" t="b">
        <v>0</v>
      </c>
      <c r="BN124" t="b">
        <v>0</v>
      </c>
      <c r="BO124" t="s">
        <v>117</v>
      </c>
      <c r="BP124">
        <v>19</v>
      </c>
      <c r="BQ124" t="s">
        <v>115</v>
      </c>
      <c r="BR124" t="s">
        <v>118</v>
      </c>
      <c r="BT124" t="s">
        <v>1296</v>
      </c>
      <c r="BU124" t="s">
        <v>1297</v>
      </c>
      <c r="BV124" t="s">
        <v>1297</v>
      </c>
      <c r="BW124" t="s">
        <v>1297</v>
      </c>
      <c r="BY124" t="s">
        <v>1776</v>
      </c>
      <c r="BZ124" t="s">
        <v>1777</v>
      </c>
      <c r="CA124" t="s">
        <v>1008</v>
      </c>
      <c r="CH124" t="s">
        <v>121</v>
      </c>
      <c r="CI124" t="s">
        <v>122</v>
      </c>
      <c r="CJ124" t="s">
        <v>1385</v>
      </c>
      <c r="CK124" t="s">
        <v>320</v>
      </c>
      <c r="CL124" t="s">
        <v>320</v>
      </c>
      <c r="CM124" t="s">
        <v>126</v>
      </c>
      <c r="CO124" t="s">
        <v>1008</v>
      </c>
      <c r="CP124" t="s">
        <v>1009</v>
      </c>
      <c r="CQ124" t="s">
        <v>1010</v>
      </c>
      <c r="CR124" t="s">
        <v>1478</v>
      </c>
      <c r="CS124" t="s">
        <v>1331</v>
      </c>
      <c r="CT124" t="s">
        <v>130</v>
      </c>
      <c r="CU124" t="s">
        <v>131</v>
      </c>
    </row>
    <row r="125" spans="1:99">
      <c r="A125" t="s">
        <v>1011</v>
      </c>
      <c r="B125" t="s">
        <v>99</v>
      </c>
      <c r="C125" t="b">
        <v>0</v>
      </c>
      <c r="D125" t="b">
        <v>0</v>
      </c>
      <c r="E125" t="s">
        <v>100</v>
      </c>
      <c r="F125" t="s">
        <v>1012</v>
      </c>
      <c r="G125" t="s">
        <v>102</v>
      </c>
      <c r="H125" t="s">
        <v>103</v>
      </c>
      <c r="I125" t="s">
        <v>100</v>
      </c>
      <c r="J125" t="b">
        <v>0</v>
      </c>
      <c r="K125" s="41">
        <v>45911.557696759257</v>
      </c>
      <c r="N125">
        <v>0</v>
      </c>
      <c r="O125" s="41">
        <v>44970.533506944441</v>
      </c>
      <c r="P125" s="41">
        <v>45931.06322916667</v>
      </c>
      <c r="Q125" s="42">
        <v>4</v>
      </c>
      <c r="R125" t="s">
        <v>105</v>
      </c>
      <c r="S125" s="42">
        <v>12288</v>
      </c>
      <c r="T125">
        <v>1597</v>
      </c>
      <c r="U125">
        <v>3</v>
      </c>
      <c r="V125">
        <v>3</v>
      </c>
      <c r="W125" s="42">
        <v>327680</v>
      </c>
      <c r="Y125" t="s">
        <v>1340</v>
      </c>
      <c r="Z125" t="s">
        <v>106</v>
      </c>
      <c r="AB125" t="b">
        <v>1</v>
      </c>
      <c r="AC125" t="b">
        <v>1</v>
      </c>
      <c r="AD125" t="s">
        <v>1013</v>
      </c>
      <c r="AE125" t="s">
        <v>981</v>
      </c>
      <c r="AF125" t="s">
        <v>109</v>
      </c>
      <c r="AG125" t="s">
        <v>110</v>
      </c>
      <c r="AM125">
        <v>1</v>
      </c>
      <c r="AN125">
        <v>8192</v>
      </c>
      <c r="AO125" t="s">
        <v>1392</v>
      </c>
      <c r="AP125" t="s">
        <v>235</v>
      </c>
      <c r="AQ125" t="s">
        <v>236</v>
      </c>
      <c r="AS125" t="b">
        <v>1</v>
      </c>
      <c r="AT125" t="s">
        <v>113</v>
      </c>
      <c r="AV125" t="s">
        <v>104</v>
      </c>
      <c r="AW125">
        <v>-1</v>
      </c>
      <c r="AX125">
        <v>-1</v>
      </c>
      <c r="AZ125">
        <v>340074</v>
      </c>
      <c r="BA125">
        <v>340074</v>
      </c>
      <c r="BB125">
        <v>327680</v>
      </c>
      <c r="BC125" t="s">
        <v>114</v>
      </c>
      <c r="BD125" t="s">
        <v>115</v>
      </c>
      <c r="BE125" t="s">
        <v>116</v>
      </c>
      <c r="BH125" t="b">
        <v>0</v>
      </c>
      <c r="BI125">
        <v>0</v>
      </c>
      <c r="BJ125">
        <v>10000</v>
      </c>
      <c r="BK125" t="b">
        <v>0</v>
      </c>
      <c r="BL125" t="b">
        <v>0</v>
      </c>
      <c r="BN125" t="b">
        <v>1</v>
      </c>
      <c r="BO125" t="s">
        <v>176</v>
      </c>
      <c r="BP125">
        <v>19</v>
      </c>
      <c r="BQ125" t="s">
        <v>115</v>
      </c>
      <c r="BR125" t="s">
        <v>118</v>
      </c>
      <c r="BT125" t="s">
        <v>1014</v>
      </c>
      <c r="BU125" t="s">
        <v>1015</v>
      </c>
      <c r="BV125" t="s">
        <v>1015</v>
      </c>
      <c r="BW125" t="s">
        <v>1015</v>
      </c>
      <c r="BX125" t="s">
        <v>179</v>
      </c>
      <c r="BY125" t="s">
        <v>1778</v>
      </c>
      <c r="BZ125" t="s">
        <v>1779</v>
      </c>
      <c r="CA125" t="s">
        <v>1016</v>
      </c>
      <c r="CD125" t="s">
        <v>984</v>
      </c>
      <c r="CH125" t="s">
        <v>121</v>
      </c>
      <c r="CI125" t="s">
        <v>122</v>
      </c>
      <c r="CJ125" t="s">
        <v>200</v>
      </c>
      <c r="CK125" t="s">
        <v>160</v>
      </c>
      <c r="CL125" t="s">
        <v>160</v>
      </c>
      <c r="CM125" t="s">
        <v>126</v>
      </c>
      <c r="CO125" t="s">
        <v>1016</v>
      </c>
      <c r="CP125" t="s">
        <v>1017</v>
      </c>
      <c r="CQ125" t="s">
        <v>1018</v>
      </c>
      <c r="CR125" t="s">
        <v>1478</v>
      </c>
      <c r="CS125" t="s">
        <v>1331</v>
      </c>
      <c r="CT125" t="s">
        <v>130</v>
      </c>
      <c r="CU125" t="s">
        <v>131</v>
      </c>
    </row>
    <row r="126" spans="1:99">
      <c r="A126" t="s">
        <v>1019</v>
      </c>
      <c r="B126" t="s">
        <v>99</v>
      </c>
      <c r="C126" t="b">
        <v>0</v>
      </c>
      <c r="D126" t="b">
        <v>0</v>
      </c>
      <c r="E126" t="s">
        <v>100</v>
      </c>
      <c r="G126" t="s">
        <v>102</v>
      </c>
      <c r="H126" t="s">
        <v>305</v>
      </c>
      <c r="I126" t="s">
        <v>104</v>
      </c>
      <c r="J126" t="b">
        <v>0</v>
      </c>
      <c r="K126" s="41">
        <v>45870.650868055563</v>
      </c>
      <c r="N126">
        <v>0</v>
      </c>
      <c r="O126" s="41">
        <v>44972.504710648151</v>
      </c>
      <c r="P126" s="41">
        <v>45925.844305555547</v>
      </c>
      <c r="Q126" s="42">
        <v>4</v>
      </c>
      <c r="R126" t="s">
        <v>105</v>
      </c>
      <c r="S126" s="42">
        <v>16384</v>
      </c>
      <c r="T126">
        <v>1310</v>
      </c>
      <c r="U126">
        <v>3</v>
      </c>
      <c r="V126">
        <v>3</v>
      </c>
      <c r="W126" s="42">
        <v>327680</v>
      </c>
      <c r="Y126" t="s">
        <v>1340</v>
      </c>
      <c r="Z126" t="s">
        <v>106</v>
      </c>
      <c r="AB126" t="b">
        <v>1</v>
      </c>
      <c r="AC126" t="b">
        <v>1</v>
      </c>
      <c r="AE126" t="s">
        <v>981</v>
      </c>
      <c r="AF126" t="s">
        <v>109</v>
      </c>
      <c r="AG126" t="s">
        <v>110</v>
      </c>
      <c r="AM126">
        <v>1</v>
      </c>
      <c r="AN126">
        <v>8192</v>
      </c>
      <c r="AO126" t="s">
        <v>1392</v>
      </c>
      <c r="AP126" t="s">
        <v>111</v>
      </c>
      <c r="AQ126" t="s">
        <v>112</v>
      </c>
      <c r="AS126" t="b">
        <v>1</v>
      </c>
      <c r="AT126" t="s">
        <v>113</v>
      </c>
      <c r="AV126" t="s">
        <v>104</v>
      </c>
      <c r="AW126">
        <v>-1</v>
      </c>
      <c r="AX126">
        <v>-1</v>
      </c>
      <c r="AZ126">
        <v>344148</v>
      </c>
      <c r="BA126">
        <v>344148</v>
      </c>
      <c r="BB126">
        <v>327680</v>
      </c>
      <c r="BC126" t="s">
        <v>114</v>
      </c>
      <c r="BD126" t="s">
        <v>115</v>
      </c>
      <c r="BE126" t="s">
        <v>116</v>
      </c>
      <c r="BH126" t="b">
        <v>0</v>
      </c>
      <c r="BI126">
        <v>0</v>
      </c>
      <c r="BJ126">
        <v>10000</v>
      </c>
      <c r="BK126" t="b">
        <v>0</v>
      </c>
      <c r="BL126" t="b">
        <v>0</v>
      </c>
      <c r="BN126" t="b">
        <v>1</v>
      </c>
      <c r="BO126" t="s">
        <v>176</v>
      </c>
      <c r="BP126">
        <v>19</v>
      </c>
      <c r="BQ126" t="s">
        <v>115</v>
      </c>
      <c r="BR126" t="s">
        <v>118</v>
      </c>
      <c r="BT126" t="s">
        <v>1020</v>
      </c>
      <c r="BU126" t="s">
        <v>1021</v>
      </c>
      <c r="BV126" t="s">
        <v>1021</v>
      </c>
      <c r="BW126" t="s">
        <v>1021</v>
      </c>
      <c r="BX126" t="s">
        <v>179</v>
      </c>
      <c r="BY126" t="s">
        <v>1780</v>
      </c>
      <c r="BZ126" t="s">
        <v>1781</v>
      </c>
      <c r="CD126" t="s">
        <v>984</v>
      </c>
      <c r="CH126" t="s">
        <v>121</v>
      </c>
      <c r="CI126" t="s">
        <v>122</v>
      </c>
      <c r="CJ126" t="s">
        <v>159</v>
      </c>
      <c r="CK126" t="s">
        <v>160</v>
      </c>
      <c r="CM126" t="s">
        <v>126</v>
      </c>
      <c r="CO126" t="s">
        <v>1022</v>
      </c>
      <c r="CP126" t="s">
        <v>1023</v>
      </c>
      <c r="CQ126" t="s">
        <v>1024</v>
      </c>
      <c r="CR126" t="s">
        <v>1478</v>
      </c>
      <c r="CS126" t="s">
        <v>1331</v>
      </c>
      <c r="CT126" t="s">
        <v>130</v>
      </c>
      <c r="CU126" t="s">
        <v>131</v>
      </c>
    </row>
    <row r="127" spans="1:99">
      <c r="A127" t="s">
        <v>1025</v>
      </c>
      <c r="B127" t="s">
        <v>99</v>
      </c>
      <c r="C127" t="b">
        <v>0</v>
      </c>
      <c r="D127" t="b">
        <v>0</v>
      </c>
      <c r="E127" t="s">
        <v>100</v>
      </c>
      <c r="F127" t="s">
        <v>1026</v>
      </c>
      <c r="G127" t="s">
        <v>102</v>
      </c>
      <c r="H127" t="s">
        <v>103</v>
      </c>
      <c r="I127" t="s">
        <v>100</v>
      </c>
      <c r="J127" t="b">
        <v>0</v>
      </c>
      <c r="K127" s="41">
        <v>45884.711956018517</v>
      </c>
      <c r="N127">
        <v>0</v>
      </c>
      <c r="O127" s="41">
        <v>44972.512997685182</v>
      </c>
      <c r="P127" s="41">
        <v>45929.687118055554</v>
      </c>
      <c r="Q127" s="42">
        <v>4</v>
      </c>
      <c r="R127" t="s">
        <v>105</v>
      </c>
      <c r="S127" s="42">
        <v>12288</v>
      </c>
      <c r="T127">
        <v>1351</v>
      </c>
      <c r="U127">
        <v>3</v>
      </c>
      <c r="V127">
        <v>3</v>
      </c>
      <c r="W127" s="42">
        <v>327680</v>
      </c>
      <c r="Y127" t="s">
        <v>1338</v>
      </c>
      <c r="Z127" t="s">
        <v>106</v>
      </c>
      <c r="AB127" t="b">
        <v>1</v>
      </c>
      <c r="AC127" t="b">
        <v>1</v>
      </c>
      <c r="AD127" t="s">
        <v>1027</v>
      </c>
      <c r="AE127" t="s">
        <v>981</v>
      </c>
      <c r="AF127" t="s">
        <v>109</v>
      </c>
      <c r="AG127" t="s">
        <v>110</v>
      </c>
      <c r="AM127">
        <v>1</v>
      </c>
      <c r="AN127">
        <v>8192</v>
      </c>
      <c r="AO127" t="s">
        <v>1392</v>
      </c>
      <c r="AP127" t="s">
        <v>111</v>
      </c>
      <c r="AQ127" t="s">
        <v>112</v>
      </c>
      <c r="AS127" t="b">
        <v>1</v>
      </c>
      <c r="AT127" t="s">
        <v>113</v>
      </c>
      <c r="AV127" t="s">
        <v>104</v>
      </c>
      <c r="AW127">
        <v>-1</v>
      </c>
      <c r="AX127">
        <v>-1</v>
      </c>
      <c r="AZ127">
        <v>340065</v>
      </c>
      <c r="BA127">
        <v>340065</v>
      </c>
      <c r="BB127">
        <v>327680</v>
      </c>
      <c r="BC127" t="s">
        <v>114</v>
      </c>
      <c r="BD127" t="s">
        <v>115</v>
      </c>
      <c r="BE127" t="s">
        <v>116</v>
      </c>
      <c r="BH127" t="b">
        <v>0</v>
      </c>
      <c r="BI127">
        <v>0</v>
      </c>
      <c r="BJ127">
        <v>10000</v>
      </c>
      <c r="BK127" t="b">
        <v>0</v>
      </c>
      <c r="BL127" t="b">
        <v>0</v>
      </c>
      <c r="BN127" t="b">
        <v>1</v>
      </c>
      <c r="BO127" t="s">
        <v>176</v>
      </c>
      <c r="BP127">
        <v>19</v>
      </c>
      <c r="BQ127" t="s">
        <v>115</v>
      </c>
      <c r="BR127" t="s">
        <v>118</v>
      </c>
      <c r="BT127" t="s">
        <v>1028</v>
      </c>
      <c r="BU127" t="s">
        <v>1029</v>
      </c>
      <c r="BV127" t="s">
        <v>1029</v>
      </c>
      <c r="BW127" t="s">
        <v>1029</v>
      </c>
      <c r="BX127" t="s">
        <v>179</v>
      </c>
      <c r="BY127" t="s">
        <v>1782</v>
      </c>
      <c r="BZ127" t="s">
        <v>1783</v>
      </c>
      <c r="CD127" t="s">
        <v>984</v>
      </c>
      <c r="CH127" t="s">
        <v>121</v>
      </c>
      <c r="CI127" t="s">
        <v>122</v>
      </c>
      <c r="CJ127" t="s">
        <v>223</v>
      </c>
      <c r="CK127" t="s">
        <v>160</v>
      </c>
      <c r="CL127" t="s">
        <v>160</v>
      </c>
      <c r="CM127" t="s">
        <v>126</v>
      </c>
      <c r="CO127" t="s">
        <v>1031</v>
      </c>
      <c r="CP127" t="s">
        <v>1032</v>
      </c>
      <c r="CQ127" t="s">
        <v>1033</v>
      </c>
      <c r="CR127" t="s">
        <v>1478</v>
      </c>
      <c r="CS127" t="s">
        <v>1331</v>
      </c>
      <c r="CT127" t="s">
        <v>130</v>
      </c>
      <c r="CU127" t="s">
        <v>131</v>
      </c>
    </row>
    <row r="128" spans="1:99">
      <c r="A128" t="s">
        <v>1034</v>
      </c>
      <c r="B128" t="s">
        <v>99</v>
      </c>
      <c r="C128" t="b">
        <v>0</v>
      </c>
      <c r="D128" t="b">
        <v>0</v>
      </c>
      <c r="E128" t="s">
        <v>100</v>
      </c>
      <c r="F128" t="s">
        <v>1035</v>
      </c>
      <c r="G128" t="s">
        <v>102</v>
      </c>
      <c r="H128" t="s">
        <v>103</v>
      </c>
      <c r="I128" t="s">
        <v>100</v>
      </c>
      <c r="J128" t="b">
        <v>0</v>
      </c>
      <c r="K128" s="41">
        <v>45846.588819444441</v>
      </c>
      <c r="N128">
        <v>0</v>
      </c>
      <c r="O128" s="41">
        <v>45054.697418981479</v>
      </c>
      <c r="P128" s="41">
        <v>45929.509166666663</v>
      </c>
      <c r="Q128" s="42">
        <v>6</v>
      </c>
      <c r="R128" t="s">
        <v>105</v>
      </c>
      <c r="S128" s="42">
        <v>24576</v>
      </c>
      <c r="T128">
        <v>737</v>
      </c>
      <c r="U128">
        <v>3</v>
      </c>
      <c r="V128">
        <v>3</v>
      </c>
      <c r="W128" s="42">
        <v>1181696</v>
      </c>
      <c r="Y128" t="s">
        <v>791</v>
      </c>
      <c r="Z128" t="s">
        <v>106</v>
      </c>
      <c r="AB128" t="b">
        <v>1</v>
      </c>
      <c r="AC128" t="b">
        <v>1</v>
      </c>
      <c r="AD128" t="s">
        <v>1036</v>
      </c>
      <c r="AE128" t="s">
        <v>1037</v>
      </c>
      <c r="AF128" t="s">
        <v>795</v>
      </c>
      <c r="AG128" t="s">
        <v>1038</v>
      </c>
      <c r="AM128">
        <v>1</v>
      </c>
      <c r="AN128">
        <v>16384</v>
      </c>
      <c r="AO128" t="s">
        <v>796</v>
      </c>
      <c r="AP128" t="s">
        <v>509</v>
      </c>
      <c r="AQ128" t="s">
        <v>510</v>
      </c>
      <c r="AS128" t="b">
        <v>1</v>
      </c>
      <c r="AT128" t="s">
        <v>113</v>
      </c>
      <c r="AV128" t="s">
        <v>104</v>
      </c>
      <c r="AW128">
        <v>-1</v>
      </c>
      <c r="AX128">
        <v>-1</v>
      </c>
      <c r="AZ128">
        <v>1206360</v>
      </c>
      <c r="BA128">
        <v>1206360</v>
      </c>
      <c r="BB128">
        <v>1181696</v>
      </c>
      <c r="BC128" t="s">
        <v>114</v>
      </c>
      <c r="BD128" t="s">
        <v>115</v>
      </c>
      <c r="BE128" t="s">
        <v>116</v>
      </c>
      <c r="BH128" t="b">
        <v>0</v>
      </c>
      <c r="BI128">
        <v>0</v>
      </c>
      <c r="BJ128">
        <v>10000</v>
      </c>
      <c r="BK128" t="b">
        <v>0</v>
      </c>
      <c r="BL128" t="b">
        <v>0</v>
      </c>
      <c r="BN128" t="b">
        <v>0</v>
      </c>
      <c r="BO128" t="s">
        <v>117</v>
      </c>
      <c r="BP128">
        <v>19</v>
      </c>
      <c r="BQ128" t="s">
        <v>115</v>
      </c>
      <c r="BR128" t="s">
        <v>118</v>
      </c>
      <c r="BT128" t="s">
        <v>1039</v>
      </c>
      <c r="BU128" t="s">
        <v>1040</v>
      </c>
      <c r="BV128" t="s">
        <v>1040</v>
      </c>
      <c r="BW128" t="s">
        <v>1040</v>
      </c>
      <c r="BY128" t="s">
        <v>1784</v>
      </c>
      <c r="BZ128" t="s">
        <v>1785</v>
      </c>
      <c r="CH128" t="s">
        <v>121</v>
      </c>
      <c r="CI128" t="s">
        <v>803</v>
      </c>
      <c r="CJ128" t="s">
        <v>812</v>
      </c>
      <c r="CK128" t="s">
        <v>465</v>
      </c>
      <c r="CL128" t="s">
        <v>465</v>
      </c>
      <c r="CM128" t="s">
        <v>126</v>
      </c>
      <c r="CO128" t="s">
        <v>1041</v>
      </c>
      <c r="CP128" t="s">
        <v>1042</v>
      </c>
      <c r="CQ128" t="s">
        <v>1043</v>
      </c>
      <c r="CR128" t="s">
        <v>1478</v>
      </c>
      <c r="CS128" t="s">
        <v>1331</v>
      </c>
      <c r="CT128" t="s">
        <v>130</v>
      </c>
      <c r="CU128" t="s">
        <v>131</v>
      </c>
    </row>
    <row r="129" spans="1:99">
      <c r="A129" t="s">
        <v>1044</v>
      </c>
      <c r="B129" t="s">
        <v>99</v>
      </c>
      <c r="C129" t="b">
        <v>0</v>
      </c>
      <c r="D129" t="b">
        <v>0</v>
      </c>
      <c r="E129" t="s">
        <v>100</v>
      </c>
      <c r="F129" t="s">
        <v>1045</v>
      </c>
      <c r="G129" t="s">
        <v>102</v>
      </c>
      <c r="H129" t="s">
        <v>103</v>
      </c>
      <c r="I129" t="s">
        <v>100</v>
      </c>
      <c r="J129" t="b">
        <v>0</v>
      </c>
      <c r="K129" s="41">
        <v>45774.096076388887</v>
      </c>
      <c r="N129">
        <v>0</v>
      </c>
      <c r="O129" s="41">
        <v>45119.778738425928</v>
      </c>
      <c r="P129" s="41">
        <v>45930.52140046296</v>
      </c>
      <c r="Q129" s="42">
        <v>8</v>
      </c>
      <c r="R129" t="s">
        <v>105</v>
      </c>
      <c r="S129" s="42">
        <v>12288</v>
      </c>
      <c r="T129">
        <v>1105</v>
      </c>
      <c r="U129">
        <v>4</v>
      </c>
      <c r="V129">
        <v>2</v>
      </c>
      <c r="W129" s="42">
        <v>207872</v>
      </c>
      <c r="Y129" t="s">
        <v>1340</v>
      </c>
      <c r="Z129" t="s">
        <v>106</v>
      </c>
      <c r="AC129" t="b">
        <v>1</v>
      </c>
      <c r="AD129" t="s">
        <v>1046</v>
      </c>
      <c r="AE129" t="s">
        <v>981</v>
      </c>
      <c r="AF129" t="s">
        <v>109</v>
      </c>
      <c r="AG129" t="s">
        <v>110</v>
      </c>
      <c r="AH129" t="s">
        <v>1007</v>
      </c>
      <c r="AM129">
        <v>1</v>
      </c>
      <c r="AN129">
        <v>4096</v>
      </c>
      <c r="AO129" t="s">
        <v>1392</v>
      </c>
      <c r="AP129" t="s">
        <v>235</v>
      </c>
      <c r="AQ129" t="s">
        <v>236</v>
      </c>
      <c r="AS129" t="b">
        <v>1</v>
      </c>
      <c r="AT129" t="s">
        <v>113</v>
      </c>
      <c r="AV129" t="s">
        <v>104</v>
      </c>
      <c r="AW129">
        <v>-1</v>
      </c>
      <c r="AX129">
        <v>-1</v>
      </c>
      <c r="AZ129">
        <v>220258</v>
      </c>
      <c r="BA129">
        <v>220258</v>
      </c>
      <c r="BB129">
        <v>207872</v>
      </c>
      <c r="BC129" t="s">
        <v>114</v>
      </c>
      <c r="BD129" t="s">
        <v>115</v>
      </c>
      <c r="BE129" t="s">
        <v>116</v>
      </c>
      <c r="BH129" t="b">
        <v>0</v>
      </c>
      <c r="BI129">
        <v>0</v>
      </c>
      <c r="BJ129">
        <v>10000</v>
      </c>
      <c r="BK129" t="b">
        <v>0</v>
      </c>
      <c r="BL129" t="b">
        <v>0</v>
      </c>
      <c r="BN129" t="b">
        <v>0</v>
      </c>
      <c r="BO129" t="s">
        <v>117</v>
      </c>
      <c r="BP129">
        <v>19</v>
      </c>
      <c r="BQ129" t="s">
        <v>115</v>
      </c>
      <c r="BR129" t="s">
        <v>118</v>
      </c>
      <c r="BT129" t="s">
        <v>1047</v>
      </c>
      <c r="BU129" t="s">
        <v>1048</v>
      </c>
      <c r="BV129" t="s">
        <v>1048</v>
      </c>
      <c r="BW129" t="s">
        <v>1048</v>
      </c>
      <c r="BY129" t="s">
        <v>1786</v>
      </c>
      <c r="BZ129" t="s">
        <v>1645</v>
      </c>
      <c r="CH129" t="s">
        <v>121</v>
      </c>
      <c r="CI129" t="s">
        <v>122</v>
      </c>
      <c r="CJ129" t="s">
        <v>1485</v>
      </c>
      <c r="CK129" t="s">
        <v>320</v>
      </c>
      <c r="CL129" t="s">
        <v>320</v>
      </c>
      <c r="CM129" t="s">
        <v>126</v>
      </c>
      <c r="CO129" t="s">
        <v>1049</v>
      </c>
      <c r="CP129" t="s">
        <v>1050</v>
      </c>
      <c r="CQ129" t="s">
        <v>1051</v>
      </c>
      <c r="CR129" t="s">
        <v>1478</v>
      </c>
      <c r="CS129" t="s">
        <v>1331</v>
      </c>
      <c r="CT129" t="s">
        <v>130</v>
      </c>
      <c r="CU129" t="s">
        <v>131</v>
      </c>
    </row>
    <row r="130" spans="1:99">
      <c r="A130" t="s">
        <v>1052</v>
      </c>
      <c r="B130" t="s">
        <v>99</v>
      </c>
      <c r="C130" t="b">
        <v>0</v>
      </c>
      <c r="D130" t="b">
        <v>0</v>
      </c>
      <c r="E130" t="s">
        <v>100</v>
      </c>
      <c r="F130" t="s">
        <v>1053</v>
      </c>
      <c r="G130" t="s">
        <v>102</v>
      </c>
      <c r="H130" t="s">
        <v>103</v>
      </c>
      <c r="I130" t="s">
        <v>100</v>
      </c>
      <c r="J130" t="b">
        <v>0</v>
      </c>
      <c r="K130" s="41">
        <v>45774.096307870372</v>
      </c>
      <c r="N130">
        <v>0</v>
      </c>
      <c r="O130" s="41">
        <v>45124.831956018519</v>
      </c>
      <c r="P130" s="41">
        <v>45929.311886574083</v>
      </c>
      <c r="Q130" s="42">
        <v>8</v>
      </c>
      <c r="R130" t="s">
        <v>105</v>
      </c>
      <c r="S130" s="42">
        <v>12288</v>
      </c>
      <c r="T130">
        <v>1843</v>
      </c>
      <c r="U130">
        <v>4</v>
      </c>
      <c r="V130">
        <v>2</v>
      </c>
      <c r="W130" s="42">
        <v>207872</v>
      </c>
      <c r="Y130" t="s">
        <v>1340</v>
      </c>
      <c r="Z130" t="s">
        <v>106</v>
      </c>
      <c r="AC130" t="b">
        <v>1</v>
      </c>
      <c r="AD130" t="s">
        <v>1054</v>
      </c>
      <c r="AE130" t="s">
        <v>981</v>
      </c>
      <c r="AF130" t="s">
        <v>109</v>
      </c>
      <c r="AG130" t="s">
        <v>110</v>
      </c>
      <c r="AH130" t="s">
        <v>1007</v>
      </c>
      <c r="AM130">
        <v>1</v>
      </c>
      <c r="AN130">
        <v>4096</v>
      </c>
      <c r="AO130" t="s">
        <v>1392</v>
      </c>
      <c r="AP130" t="s">
        <v>235</v>
      </c>
      <c r="AQ130" t="s">
        <v>236</v>
      </c>
      <c r="AS130" t="b">
        <v>1</v>
      </c>
      <c r="AT130" t="s">
        <v>113</v>
      </c>
      <c r="AV130" t="s">
        <v>104</v>
      </c>
      <c r="AW130">
        <v>-1</v>
      </c>
      <c r="AX130">
        <v>-1</v>
      </c>
      <c r="AZ130">
        <v>220255</v>
      </c>
      <c r="BA130">
        <v>220255</v>
      </c>
      <c r="BB130">
        <v>207872</v>
      </c>
      <c r="BC130" t="s">
        <v>114</v>
      </c>
      <c r="BD130" t="s">
        <v>115</v>
      </c>
      <c r="BE130" t="s">
        <v>116</v>
      </c>
      <c r="BH130" t="b">
        <v>0</v>
      </c>
      <c r="BI130">
        <v>0</v>
      </c>
      <c r="BJ130">
        <v>10000</v>
      </c>
      <c r="BK130" t="b">
        <v>0</v>
      </c>
      <c r="BL130" t="b">
        <v>0</v>
      </c>
      <c r="BN130" t="b">
        <v>0</v>
      </c>
      <c r="BO130" t="s">
        <v>117</v>
      </c>
      <c r="BP130">
        <v>19</v>
      </c>
      <c r="BQ130" t="s">
        <v>115</v>
      </c>
      <c r="BR130" t="s">
        <v>118</v>
      </c>
      <c r="BT130" t="s">
        <v>1055</v>
      </c>
      <c r="BU130" t="s">
        <v>1056</v>
      </c>
      <c r="BV130" t="s">
        <v>1056</v>
      </c>
      <c r="BW130" t="s">
        <v>1056</v>
      </c>
      <c r="BY130" t="s">
        <v>1787</v>
      </c>
      <c r="BZ130" t="s">
        <v>1788</v>
      </c>
      <c r="CH130" t="s">
        <v>121</v>
      </c>
      <c r="CI130" t="s">
        <v>122</v>
      </c>
      <c r="CJ130" t="s">
        <v>1339</v>
      </c>
      <c r="CK130" t="s">
        <v>320</v>
      </c>
      <c r="CL130" t="s">
        <v>320</v>
      </c>
      <c r="CM130" t="s">
        <v>126</v>
      </c>
      <c r="CO130" t="s">
        <v>1057</v>
      </c>
      <c r="CP130" t="s">
        <v>1058</v>
      </c>
      <c r="CQ130" t="s">
        <v>1059</v>
      </c>
      <c r="CR130" t="s">
        <v>1478</v>
      </c>
      <c r="CS130" t="s">
        <v>1331</v>
      </c>
      <c r="CT130" t="s">
        <v>130</v>
      </c>
      <c r="CU130" t="s">
        <v>131</v>
      </c>
    </row>
    <row r="131" spans="1:99">
      <c r="A131" t="s">
        <v>1060</v>
      </c>
      <c r="B131" t="s">
        <v>99</v>
      </c>
      <c r="C131" t="b">
        <v>0</v>
      </c>
      <c r="D131" t="b">
        <v>0</v>
      </c>
      <c r="E131" t="s">
        <v>100</v>
      </c>
      <c r="F131" t="s">
        <v>1061</v>
      </c>
      <c r="G131" t="s">
        <v>102</v>
      </c>
      <c r="H131" t="s">
        <v>103</v>
      </c>
      <c r="I131" t="s">
        <v>100</v>
      </c>
      <c r="J131" t="b">
        <v>0</v>
      </c>
      <c r="K131" s="41">
        <v>45774.096516203703</v>
      </c>
      <c r="N131">
        <v>0</v>
      </c>
      <c r="O131" s="41">
        <v>45124.834872685176</v>
      </c>
      <c r="P131" s="41">
        <v>45928.87804398148</v>
      </c>
      <c r="Q131" s="42">
        <v>8</v>
      </c>
      <c r="R131" t="s">
        <v>105</v>
      </c>
      <c r="S131" s="42">
        <v>12288</v>
      </c>
      <c r="T131">
        <v>1105</v>
      </c>
      <c r="U131">
        <v>4</v>
      </c>
      <c r="V131">
        <v>2</v>
      </c>
      <c r="W131" s="42">
        <v>207872</v>
      </c>
      <c r="Y131" t="s">
        <v>1338</v>
      </c>
      <c r="Z131" t="s">
        <v>106</v>
      </c>
      <c r="AC131" t="b">
        <v>1</v>
      </c>
      <c r="AD131" t="s">
        <v>1062</v>
      </c>
      <c r="AE131" t="s">
        <v>981</v>
      </c>
      <c r="AF131" t="s">
        <v>109</v>
      </c>
      <c r="AG131" t="s">
        <v>110</v>
      </c>
      <c r="AH131" t="s">
        <v>1007</v>
      </c>
      <c r="AM131">
        <v>1</v>
      </c>
      <c r="AN131">
        <v>4096</v>
      </c>
      <c r="AO131" t="s">
        <v>1392</v>
      </c>
      <c r="AP131" t="s">
        <v>235</v>
      </c>
      <c r="AQ131" t="s">
        <v>236</v>
      </c>
      <c r="AS131" t="b">
        <v>1</v>
      </c>
      <c r="AT131" t="s">
        <v>113</v>
      </c>
      <c r="AV131" t="s">
        <v>104</v>
      </c>
      <c r="AW131">
        <v>-1</v>
      </c>
      <c r="AX131">
        <v>-1</v>
      </c>
      <c r="AZ131">
        <v>220256</v>
      </c>
      <c r="BA131">
        <v>220256</v>
      </c>
      <c r="BB131">
        <v>207872</v>
      </c>
      <c r="BC131" t="s">
        <v>114</v>
      </c>
      <c r="BD131" t="s">
        <v>115</v>
      </c>
      <c r="BE131" t="s">
        <v>116</v>
      </c>
      <c r="BH131" t="b">
        <v>0</v>
      </c>
      <c r="BI131">
        <v>0</v>
      </c>
      <c r="BJ131">
        <v>10000</v>
      </c>
      <c r="BK131" t="b">
        <v>0</v>
      </c>
      <c r="BL131" t="b">
        <v>0</v>
      </c>
      <c r="BN131" t="b">
        <v>0</v>
      </c>
      <c r="BO131" t="s">
        <v>117</v>
      </c>
      <c r="BP131">
        <v>19</v>
      </c>
      <c r="BQ131" t="s">
        <v>115</v>
      </c>
      <c r="BR131" t="s">
        <v>118</v>
      </c>
      <c r="BT131" t="s">
        <v>1063</v>
      </c>
      <c r="BU131" t="s">
        <v>1064</v>
      </c>
      <c r="BV131" t="s">
        <v>1064</v>
      </c>
      <c r="BW131" t="s">
        <v>1064</v>
      </c>
      <c r="BY131" t="s">
        <v>1789</v>
      </c>
      <c r="BZ131" t="s">
        <v>1790</v>
      </c>
      <c r="CH131" t="s">
        <v>121</v>
      </c>
      <c r="CI131" t="s">
        <v>122</v>
      </c>
      <c r="CJ131" t="s">
        <v>1030</v>
      </c>
      <c r="CK131" t="s">
        <v>320</v>
      </c>
      <c r="CL131" t="s">
        <v>320</v>
      </c>
      <c r="CM131" t="s">
        <v>126</v>
      </c>
      <c r="CO131" t="s">
        <v>1065</v>
      </c>
      <c r="CP131" t="s">
        <v>1066</v>
      </c>
      <c r="CQ131" t="s">
        <v>1067</v>
      </c>
      <c r="CR131" t="s">
        <v>1478</v>
      </c>
      <c r="CS131" t="s">
        <v>1331</v>
      </c>
      <c r="CT131" t="s">
        <v>130</v>
      </c>
      <c r="CU131" t="s">
        <v>131</v>
      </c>
    </row>
    <row r="132" spans="1:99">
      <c r="A132" t="s">
        <v>1068</v>
      </c>
      <c r="B132" t="s">
        <v>99</v>
      </c>
      <c r="C132" t="b">
        <v>0</v>
      </c>
      <c r="D132" t="b">
        <v>0</v>
      </c>
      <c r="E132" t="s">
        <v>100</v>
      </c>
      <c r="F132" t="s">
        <v>1069</v>
      </c>
      <c r="G132" t="s">
        <v>102</v>
      </c>
      <c r="H132" t="s">
        <v>103</v>
      </c>
      <c r="I132" t="s">
        <v>100</v>
      </c>
      <c r="J132" t="b">
        <v>0</v>
      </c>
      <c r="K132" s="41">
        <v>45907.961296296293</v>
      </c>
      <c r="N132">
        <v>0</v>
      </c>
      <c r="O132" s="41">
        <v>45156.639293981483</v>
      </c>
      <c r="P132" s="41">
        <v>45931.031481481477</v>
      </c>
      <c r="Q132" s="42">
        <v>2</v>
      </c>
      <c r="R132" t="s">
        <v>105</v>
      </c>
      <c r="S132" s="42">
        <v>4096</v>
      </c>
      <c r="T132">
        <v>655</v>
      </c>
      <c r="U132">
        <v>2</v>
      </c>
      <c r="V132">
        <v>2</v>
      </c>
      <c r="W132" s="42">
        <v>30720</v>
      </c>
      <c r="Y132" t="s">
        <v>1340</v>
      </c>
      <c r="Z132" t="s">
        <v>106</v>
      </c>
      <c r="AC132" t="b">
        <v>1</v>
      </c>
      <c r="AD132" t="s">
        <v>1070</v>
      </c>
      <c r="AE132" t="s">
        <v>109</v>
      </c>
      <c r="AF132" t="s">
        <v>110</v>
      </c>
      <c r="AM132">
        <v>1</v>
      </c>
      <c r="AN132">
        <v>131072</v>
      </c>
      <c r="AO132" t="s">
        <v>1392</v>
      </c>
      <c r="AP132" t="s">
        <v>235</v>
      </c>
      <c r="AQ132" t="s">
        <v>236</v>
      </c>
      <c r="AS132" t="b">
        <v>1</v>
      </c>
      <c r="AT132" t="s">
        <v>113</v>
      </c>
      <c r="AV132" t="s">
        <v>104</v>
      </c>
      <c r="AW132">
        <v>-1</v>
      </c>
      <c r="AX132">
        <v>-1</v>
      </c>
      <c r="AZ132">
        <v>34899</v>
      </c>
      <c r="BA132">
        <v>34899</v>
      </c>
      <c r="BB132">
        <v>30720</v>
      </c>
      <c r="BC132" t="s">
        <v>114</v>
      </c>
      <c r="BD132" t="s">
        <v>115</v>
      </c>
      <c r="BE132" t="s">
        <v>116</v>
      </c>
      <c r="BH132" t="b">
        <v>0</v>
      </c>
      <c r="BI132">
        <v>0</v>
      </c>
      <c r="BJ132">
        <v>10000</v>
      </c>
      <c r="BK132" t="b">
        <v>0</v>
      </c>
      <c r="BL132" t="b">
        <v>0</v>
      </c>
      <c r="BN132" t="b">
        <v>0</v>
      </c>
      <c r="BO132" t="s">
        <v>117</v>
      </c>
      <c r="BP132">
        <v>19</v>
      </c>
      <c r="BQ132" t="s">
        <v>115</v>
      </c>
      <c r="BR132" t="s">
        <v>118</v>
      </c>
      <c r="BT132" t="s">
        <v>1071</v>
      </c>
      <c r="BU132" t="s">
        <v>1072</v>
      </c>
      <c r="BV132" t="s">
        <v>1072</v>
      </c>
      <c r="BW132" t="s">
        <v>1072</v>
      </c>
      <c r="BY132" t="s">
        <v>1791</v>
      </c>
      <c r="BZ132" t="s">
        <v>1792</v>
      </c>
      <c r="CH132" t="s">
        <v>121</v>
      </c>
      <c r="CI132" t="s">
        <v>122</v>
      </c>
      <c r="CJ132" t="s">
        <v>1030</v>
      </c>
      <c r="CK132" t="s">
        <v>320</v>
      </c>
      <c r="CL132" t="s">
        <v>320</v>
      </c>
      <c r="CM132" t="s">
        <v>126</v>
      </c>
      <c r="CO132" t="s">
        <v>1073</v>
      </c>
      <c r="CP132" t="s">
        <v>1074</v>
      </c>
      <c r="CQ132" t="s">
        <v>1075</v>
      </c>
      <c r="CR132" t="s">
        <v>1478</v>
      </c>
      <c r="CS132" t="s">
        <v>1331</v>
      </c>
      <c r="CT132" t="s">
        <v>130</v>
      </c>
      <c r="CU132" t="s">
        <v>131</v>
      </c>
    </row>
    <row r="133" spans="1:99">
      <c r="A133" t="s">
        <v>1076</v>
      </c>
      <c r="B133" t="s">
        <v>99</v>
      </c>
      <c r="C133" t="b">
        <v>0</v>
      </c>
      <c r="D133" t="b">
        <v>0</v>
      </c>
      <c r="E133" t="s">
        <v>100</v>
      </c>
      <c r="F133" t="s">
        <v>1069</v>
      </c>
      <c r="G133" t="s">
        <v>102</v>
      </c>
      <c r="H133" t="s">
        <v>103</v>
      </c>
      <c r="I133" t="s">
        <v>100</v>
      </c>
      <c r="J133" t="b">
        <v>0</v>
      </c>
      <c r="K133" s="41">
        <v>45927.502256944441</v>
      </c>
      <c r="N133">
        <v>0</v>
      </c>
      <c r="O133" s="41">
        <v>45156.648680555547</v>
      </c>
      <c r="P133" s="41">
        <v>45930.983888888892</v>
      </c>
      <c r="Q133" s="42">
        <v>2</v>
      </c>
      <c r="R133" t="s">
        <v>105</v>
      </c>
      <c r="S133" s="42">
        <v>4096</v>
      </c>
      <c r="T133">
        <v>778</v>
      </c>
      <c r="U133">
        <v>2</v>
      </c>
      <c r="V133">
        <v>2</v>
      </c>
      <c r="W133" s="42">
        <v>30720</v>
      </c>
      <c r="Y133" t="s">
        <v>1340</v>
      </c>
      <c r="Z133" t="s">
        <v>106</v>
      </c>
      <c r="AC133" t="b">
        <v>1</v>
      </c>
      <c r="AD133" t="s">
        <v>1077</v>
      </c>
      <c r="AE133" t="s">
        <v>109</v>
      </c>
      <c r="AF133" t="s">
        <v>110</v>
      </c>
      <c r="AM133">
        <v>1</v>
      </c>
      <c r="AN133">
        <v>131072</v>
      </c>
      <c r="AO133" t="s">
        <v>1392</v>
      </c>
      <c r="AP133" t="s">
        <v>235</v>
      </c>
      <c r="AQ133" t="s">
        <v>236</v>
      </c>
      <c r="AS133" t="b">
        <v>1</v>
      </c>
      <c r="AT133" t="s">
        <v>113</v>
      </c>
      <c r="AV133" t="s">
        <v>104</v>
      </c>
      <c r="AW133">
        <v>-1</v>
      </c>
      <c r="AX133">
        <v>-1</v>
      </c>
      <c r="AZ133">
        <v>34899</v>
      </c>
      <c r="BA133">
        <v>34899</v>
      </c>
      <c r="BB133">
        <v>30720</v>
      </c>
      <c r="BC133" t="s">
        <v>114</v>
      </c>
      <c r="BD133" t="s">
        <v>115</v>
      </c>
      <c r="BE133" t="s">
        <v>116</v>
      </c>
      <c r="BH133" t="b">
        <v>0</v>
      </c>
      <c r="BI133">
        <v>0</v>
      </c>
      <c r="BJ133">
        <v>10000</v>
      </c>
      <c r="BK133" t="b">
        <v>0</v>
      </c>
      <c r="BL133" t="b">
        <v>0</v>
      </c>
      <c r="BN133" t="b">
        <v>0</v>
      </c>
      <c r="BO133" t="s">
        <v>117</v>
      </c>
      <c r="BP133">
        <v>19</v>
      </c>
      <c r="BQ133" t="s">
        <v>115</v>
      </c>
      <c r="BR133" t="s">
        <v>118</v>
      </c>
      <c r="BT133" t="s">
        <v>1078</v>
      </c>
      <c r="BU133" t="s">
        <v>1079</v>
      </c>
      <c r="BV133" t="s">
        <v>1079</v>
      </c>
      <c r="BW133" t="s">
        <v>1079</v>
      </c>
      <c r="BY133" t="s">
        <v>1793</v>
      </c>
      <c r="BZ133" t="s">
        <v>1794</v>
      </c>
      <c r="CH133" t="s">
        <v>121</v>
      </c>
      <c r="CI133" t="s">
        <v>122</v>
      </c>
      <c r="CJ133" t="s">
        <v>1795</v>
      </c>
      <c r="CK133" t="s">
        <v>320</v>
      </c>
      <c r="CL133" t="s">
        <v>320</v>
      </c>
      <c r="CM133" t="s">
        <v>126</v>
      </c>
      <c r="CO133" t="s">
        <v>1080</v>
      </c>
      <c r="CP133" t="s">
        <v>1081</v>
      </c>
      <c r="CQ133" t="s">
        <v>1082</v>
      </c>
      <c r="CR133" t="s">
        <v>1478</v>
      </c>
      <c r="CS133" t="s">
        <v>1331</v>
      </c>
      <c r="CT133" t="s">
        <v>130</v>
      </c>
      <c r="CU133" t="s">
        <v>131</v>
      </c>
    </row>
    <row r="134" spans="1:99" s="43" customFormat="1">
      <c r="A134" s="43" t="s">
        <v>1471</v>
      </c>
      <c r="B134" s="43" t="s">
        <v>304</v>
      </c>
      <c r="C134" s="43" t="b">
        <v>0</v>
      </c>
      <c r="D134" s="43" t="b">
        <v>0</v>
      </c>
      <c r="E134" s="43" t="s">
        <v>100</v>
      </c>
      <c r="F134" s="43" t="s">
        <v>1083</v>
      </c>
      <c r="G134" s="43" t="s">
        <v>102</v>
      </c>
      <c r="H134" s="43" t="s">
        <v>305</v>
      </c>
      <c r="I134" s="43" t="s">
        <v>104</v>
      </c>
      <c r="J134" s="43" t="b">
        <v>0</v>
      </c>
      <c r="N134" s="43">
        <v>0</v>
      </c>
      <c r="O134" s="44">
        <v>45267.68372685185</v>
      </c>
      <c r="P134" s="44">
        <v>45926.426631944443</v>
      </c>
      <c r="Q134" s="45">
        <v>4</v>
      </c>
      <c r="S134" s="45">
        <v>16384</v>
      </c>
      <c r="T134" s="43">
        <v>0</v>
      </c>
      <c r="U134" s="43">
        <v>3</v>
      </c>
      <c r="V134" s="43">
        <v>3</v>
      </c>
      <c r="W134" s="45">
        <v>409600</v>
      </c>
      <c r="Z134" s="43" t="s">
        <v>106</v>
      </c>
      <c r="AB134" s="43" t="b">
        <v>1</v>
      </c>
      <c r="AC134" s="43" t="b">
        <v>1</v>
      </c>
      <c r="AE134" s="43" t="s">
        <v>108</v>
      </c>
      <c r="AF134" s="43" t="s">
        <v>109</v>
      </c>
      <c r="AG134" s="43" t="s">
        <v>110</v>
      </c>
      <c r="AM134" s="43">
        <v>1</v>
      </c>
      <c r="AN134" s="43">
        <v>16384</v>
      </c>
      <c r="AO134" s="43" t="s">
        <v>1392</v>
      </c>
      <c r="AP134" s="43" t="s">
        <v>111</v>
      </c>
      <c r="AQ134" s="43" t="s">
        <v>112</v>
      </c>
      <c r="AT134" s="43" t="s">
        <v>113</v>
      </c>
      <c r="AV134" s="43" t="s">
        <v>104</v>
      </c>
      <c r="AW134" s="43">
        <v>-1</v>
      </c>
      <c r="AX134" s="43">
        <v>-1</v>
      </c>
      <c r="AZ134" s="43">
        <v>426309</v>
      </c>
      <c r="BA134" s="43">
        <v>409649</v>
      </c>
      <c r="BB134" s="43">
        <v>409600</v>
      </c>
      <c r="BC134" s="43" t="s">
        <v>114</v>
      </c>
      <c r="BD134" s="43" t="s">
        <v>115</v>
      </c>
      <c r="BE134" s="43" t="s">
        <v>116</v>
      </c>
      <c r="BH134" s="43" t="b">
        <v>0</v>
      </c>
      <c r="BI134" s="43">
        <v>0</v>
      </c>
      <c r="BJ134" s="43">
        <v>10000</v>
      </c>
      <c r="BK134" s="43" t="b">
        <v>0</v>
      </c>
      <c r="BL134" s="43" t="b">
        <v>0</v>
      </c>
      <c r="BN134" s="43" t="b">
        <v>0</v>
      </c>
      <c r="BO134" s="43" t="s">
        <v>117</v>
      </c>
      <c r="BP134" s="43">
        <v>19</v>
      </c>
      <c r="BQ134" s="43" t="s">
        <v>115</v>
      </c>
      <c r="BR134" s="43" t="s">
        <v>118</v>
      </c>
      <c r="BT134" s="43" t="s">
        <v>1472</v>
      </c>
      <c r="BU134" s="43" t="s">
        <v>1473</v>
      </c>
      <c r="BV134" s="43" t="s">
        <v>1473</v>
      </c>
      <c r="BW134" s="43" t="s">
        <v>1473</v>
      </c>
      <c r="BY134" s="43" t="s">
        <v>1796</v>
      </c>
      <c r="BZ134" s="43" t="s">
        <v>1797</v>
      </c>
      <c r="CH134" s="43" t="s">
        <v>121</v>
      </c>
      <c r="CI134" s="43" t="s">
        <v>122</v>
      </c>
      <c r="CJ134" s="43" t="s">
        <v>1798</v>
      </c>
      <c r="CK134" s="43" t="s">
        <v>160</v>
      </c>
      <c r="CO134" s="43" t="s">
        <v>1474</v>
      </c>
      <c r="CP134" s="43" t="s">
        <v>1475</v>
      </c>
      <c r="CQ134" s="43" t="s">
        <v>1476</v>
      </c>
      <c r="CR134" s="43" t="s">
        <v>1478</v>
      </c>
      <c r="CS134" s="43" t="s">
        <v>1331</v>
      </c>
      <c r="CT134" s="43" t="s">
        <v>130</v>
      </c>
      <c r="CU134" s="43" t="s">
        <v>131</v>
      </c>
    </row>
    <row r="135" spans="1:99">
      <c r="A135" t="s">
        <v>1333</v>
      </c>
      <c r="B135" t="s">
        <v>99</v>
      </c>
      <c r="C135" t="b">
        <v>0</v>
      </c>
      <c r="D135" t="b">
        <v>0</v>
      </c>
      <c r="E135" t="s">
        <v>100</v>
      </c>
      <c r="F135" t="s">
        <v>1083</v>
      </c>
      <c r="G135" t="s">
        <v>102</v>
      </c>
      <c r="H135" t="s">
        <v>103</v>
      </c>
      <c r="I135" t="s">
        <v>100</v>
      </c>
      <c r="J135" t="b">
        <v>0</v>
      </c>
      <c r="K135" s="41">
        <v>45902.830868055556</v>
      </c>
      <c r="N135">
        <v>0</v>
      </c>
      <c r="O135" s="41">
        <v>45267.68372685185</v>
      </c>
      <c r="P135" s="41">
        <v>45931.171736111108</v>
      </c>
      <c r="Q135" s="42">
        <v>4</v>
      </c>
      <c r="R135" t="s">
        <v>105</v>
      </c>
      <c r="S135" s="42">
        <v>16384</v>
      </c>
      <c r="T135">
        <v>983</v>
      </c>
      <c r="U135">
        <v>3</v>
      </c>
      <c r="V135">
        <v>3</v>
      </c>
      <c r="W135" s="42">
        <v>409600</v>
      </c>
      <c r="Y135" t="s">
        <v>1340</v>
      </c>
      <c r="Z135" t="s">
        <v>106</v>
      </c>
      <c r="AB135" t="b">
        <v>1</v>
      </c>
      <c r="AC135" t="b">
        <v>1</v>
      </c>
      <c r="AD135" t="s">
        <v>1084</v>
      </c>
      <c r="AE135" t="s">
        <v>108</v>
      </c>
      <c r="AF135" t="s">
        <v>109</v>
      </c>
      <c r="AG135" t="s">
        <v>110</v>
      </c>
      <c r="AM135">
        <v>1</v>
      </c>
      <c r="AN135">
        <v>16384</v>
      </c>
      <c r="AO135" t="s">
        <v>1392</v>
      </c>
      <c r="AP135" t="s">
        <v>111</v>
      </c>
      <c r="AQ135" t="s">
        <v>112</v>
      </c>
      <c r="AS135" t="b">
        <v>1</v>
      </c>
      <c r="AT135" t="s">
        <v>113</v>
      </c>
      <c r="AV135" t="s">
        <v>104</v>
      </c>
      <c r="AW135">
        <v>-1</v>
      </c>
      <c r="AX135">
        <v>-1</v>
      </c>
      <c r="AZ135">
        <v>426073</v>
      </c>
      <c r="BA135">
        <v>426073</v>
      </c>
      <c r="BB135">
        <v>409600</v>
      </c>
      <c r="BC135" t="s">
        <v>114</v>
      </c>
      <c r="BD135" t="s">
        <v>115</v>
      </c>
      <c r="BE135" t="s">
        <v>116</v>
      </c>
      <c r="BH135" t="b">
        <v>0</v>
      </c>
      <c r="BI135">
        <v>0</v>
      </c>
      <c r="BJ135">
        <v>10000</v>
      </c>
      <c r="BK135" t="b">
        <v>0</v>
      </c>
      <c r="BL135" t="b">
        <v>0</v>
      </c>
      <c r="BN135" t="b">
        <v>0</v>
      </c>
      <c r="BO135" t="s">
        <v>117</v>
      </c>
      <c r="BP135">
        <v>19</v>
      </c>
      <c r="BQ135" t="s">
        <v>115</v>
      </c>
      <c r="BR135" t="s">
        <v>118</v>
      </c>
      <c r="BT135" t="s">
        <v>1365</v>
      </c>
      <c r="BU135" t="s">
        <v>1366</v>
      </c>
      <c r="BV135" t="s">
        <v>1366</v>
      </c>
      <c r="BW135" t="s">
        <v>1366</v>
      </c>
      <c r="CH135" t="s">
        <v>121</v>
      </c>
      <c r="CI135" t="s">
        <v>122</v>
      </c>
      <c r="CJ135" t="s">
        <v>148</v>
      </c>
      <c r="CK135" t="s">
        <v>160</v>
      </c>
      <c r="CL135" t="s">
        <v>160</v>
      </c>
      <c r="CM135" t="s">
        <v>126</v>
      </c>
      <c r="CO135" t="s">
        <v>1334</v>
      </c>
      <c r="CP135" t="s">
        <v>1335</v>
      </c>
      <c r="CQ135" t="s">
        <v>1336</v>
      </c>
      <c r="CR135" t="s">
        <v>1478</v>
      </c>
      <c r="CS135" t="s">
        <v>1331</v>
      </c>
      <c r="CT135" t="s">
        <v>130</v>
      </c>
      <c r="CU135" t="s">
        <v>131</v>
      </c>
    </row>
    <row r="136" spans="1:99">
      <c r="A136" t="s">
        <v>1086</v>
      </c>
      <c r="B136" t="s">
        <v>99</v>
      </c>
      <c r="C136" t="b">
        <v>0</v>
      </c>
      <c r="D136" t="b">
        <v>0</v>
      </c>
      <c r="E136" t="s">
        <v>100</v>
      </c>
      <c r="F136" t="s">
        <v>1087</v>
      </c>
      <c r="G136" t="s">
        <v>102</v>
      </c>
      <c r="H136" t="s">
        <v>103</v>
      </c>
      <c r="I136" t="s">
        <v>100</v>
      </c>
      <c r="J136" t="b">
        <v>0</v>
      </c>
      <c r="K136" s="41">
        <v>45889.607141203713</v>
      </c>
      <c r="N136">
        <v>0</v>
      </c>
      <c r="O136" s="41">
        <v>45198.337002314824</v>
      </c>
      <c r="P136" s="41">
        <v>45930.427164351851</v>
      </c>
      <c r="Q136" s="42">
        <v>4</v>
      </c>
      <c r="R136" t="s">
        <v>105</v>
      </c>
      <c r="S136" s="42">
        <v>8192</v>
      </c>
      <c r="T136">
        <v>1228</v>
      </c>
      <c r="U136">
        <v>3</v>
      </c>
      <c r="V136">
        <v>3</v>
      </c>
      <c r="W136" s="42">
        <v>307200</v>
      </c>
      <c r="Y136" t="s">
        <v>1340</v>
      </c>
      <c r="Z136" t="s">
        <v>106</v>
      </c>
      <c r="AB136" t="b">
        <v>1</v>
      </c>
      <c r="AC136" t="b">
        <v>1</v>
      </c>
      <c r="AD136" t="s">
        <v>1088</v>
      </c>
      <c r="AE136" t="s">
        <v>108</v>
      </c>
      <c r="AF136" t="s">
        <v>109</v>
      </c>
      <c r="AG136" t="s">
        <v>110</v>
      </c>
      <c r="AM136">
        <v>1</v>
      </c>
      <c r="AN136">
        <v>16384</v>
      </c>
      <c r="AO136" t="s">
        <v>1392</v>
      </c>
      <c r="AP136" t="s">
        <v>235</v>
      </c>
      <c r="AQ136" t="s">
        <v>236</v>
      </c>
      <c r="AS136" t="b">
        <v>1</v>
      </c>
      <c r="AT136" t="s">
        <v>113</v>
      </c>
      <c r="AV136" t="s">
        <v>104</v>
      </c>
      <c r="AW136">
        <v>-1</v>
      </c>
      <c r="AX136">
        <v>-1</v>
      </c>
      <c r="AZ136">
        <v>315480</v>
      </c>
      <c r="BA136">
        <v>315480</v>
      </c>
      <c r="BB136">
        <v>307200</v>
      </c>
      <c r="BC136" t="s">
        <v>114</v>
      </c>
      <c r="BD136" t="s">
        <v>115</v>
      </c>
      <c r="BE136" t="s">
        <v>116</v>
      </c>
      <c r="BH136" t="b">
        <v>0</v>
      </c>
      <c r="BI136">
        <v>0</v>
      </c>
      <c r="BJ136">
        <v>10000</v>
      </c>
      <c r="BK136" t="b">
        <v>0</v>
      </c>
      <c r="BL136" t="b">
        <v>0</v>
      </c>
      <c r="BN136" t="b">
        <v>0</v>
      </c>
      <c r="BO136" t="s">
        <v>117</v>
      </c>
      <c r="BP136">
        <v>19</v>
      </c>
      <c r="BQ136" t="s">
        <v>115</v>
      </c>
      <c r="BR136" t="s">
        <v>118</v>
      </c>
      <c r="BT136" t="s">
        <v>1089</v>
      </c>
      <c r="BU136" t="s">
        <v>1090</v>
      </c>
      <c r="BV136" t="s">
        <v>1090</v>
      </c>
      <c r="BW136" t="s">
        <v>1090</v>
      </c>
      <c r="BY136" t="s">
        <v>1799</v>
      </c>
      <c r="BZ136" t="s">
        <v>1800</v>
      </c>
      <c r="CH136" t="s">
        <v>121</v>
      </c>
      <c r="CI136" t="s">
        <v>122</v>
      </c>
      <c r="CJ136" t="s">
        <v>123</v>
      </c>
      <c r="CK136" t="s">
        <v>160</v>
      </c>
      <c r="CL136" t="s">
        <v>160</v>
      </c>
      <c r="CM136" t="s">
        <v>126</v>
      </c>
      <c r="CO136" t="s">
        <v>1091</v>
      </c>
      <c r="CP136" t="s">
        <v>1092</v>
      </c>
      <c r="CQ136" t="s">
        <v>1093</v>
      </c>
      <c r="CR136" t="s">
        <v>1478</v>
      </c>
      <c r="CS136" t="s">
        <v>1331</v>
      </c>
      <c r="CT136" t="s">
        <v>130</v>
      </c>
      <c r="CU136" t="s">
        <v>131</v>
      </c>
    </row>
    <row r="137" spans="1:99">
      <c r="A137" t="s">
        <v>1094</v>
      </c>
      <c r="B137" t="s">
        <v>99</v>
      </c>
      <c r="C137" t="b">
        <v>0</v>
      </c>
      <c r="D137" t="b">
        <v>0</v>
      </c>
      <c r="E137" t="s">
        <v>100</v>
      </c>
      <c r="F137" t="s">
        <v>1095</v>
      </c>
      <c r="G137" t="s">
        <v>102</v>
      </c>
      <c r="H137" t="s">
        <v>103</v>
      </c>
      <c r="I137" t="s">
        <v>100</v>
      </c>
      <c r="J137" t="b">
        <v>0</v>
      </c>
      <c r="K137" s="41">
        <v>45622.94835648148</v>
      </c>
      <c r="N137">
        <v>0</v>
      </c>
      <c r="O137" s="41">
        <v>45211.635682870372</v>
      </c>
      <c r="P137" s="41">
        <v>45929.808564814812</v>
      </c>
      <c r="Q137" s="42">
        <v>4</v>
      </c>
      <c r="R137" t="s">
        <v>105</v>
      </c>
      <c r="S137" s="42">
        <v>16384</v>
      </c>
      <c r="T137">
        <v>327</v>
      </c>
      <c r="U137">
        <v>4</v>
      </c>
      <c r="V137">
        <v>1</v>
      </c>
      <c r="W137" s="42">
        <v>102400</v>
      </c>
      <c r="Y137" t="s">
        <v>1338</v>
      </c>
      <c r="Z137" t="s">
        <v>106</v>
      </c>
      <c r="AC137" t="b">
        <v>1</v>
      </c>
      <c r="AD137" t="s">
        <v>1096</v>
      </c>
      <c r="AE137" t="s">
        <v>108</v>
      </c>
      <c r="AF137" t="s">
        <v>143</v>
      </c>
      <c r="AG137" t="s">
        <v>110</v>
      </c>
      <c r="AH137" t="s">
        <v>981</v>
      </c>
      <c r="AM137">
        <v>1</v>
      </c>
      <c r="AN137">
        <v>8192</v>
      </c>
      <c r="AO137" t="s">
        <v>1392</v>
      </c>
      <c r="AP137" t="s">
        <v>235</v>
      </c>
      <c r="AQ137" t="s">
        <v>236</v>
      </c>
      <c r="AS137" t="b">
        <v>1</v>
      </c>
      <c r="AT137" t="s">
        <v>113</v>
      </c>
      <c r="AV137" t="s">
        <v>104</v>
      </c>
      <c r="AW137">
        <v>-1</v>
      </c>
      <c r="AX137">
        <v>-1</v>
      </c>
      <c r="AZ137">
        <v>118879</v>
      </c>
      <c r="BA137">
        <v>118879</v>
      </c>
      <c r="BB137">
        <v>102400</v>
      </c>
      <c r="BC137" t="s">
        <v>114</v>
      </c>
      <c r="BD137" t="s">
        <v>115</v>
      </c>
      <c r="BE137" t="s">
        <v>116</v>
      </c>
      <c r="BH137" t="b">
        <v>0</v>
      </c>
      <c r="BI137">
        <v>0</v>
      </c>
      <c r="BJ137">
        <v>10000</v>
      </c>
      <c r="BK137" t="b">
        <v>0</v>
      </c>
      <c r="BL137" t="b">
        <v>0</v>
      </c>
      <c r="BN137" t="b">
        <v>0</v>
      </c>
      <c r="BO137" t="s">
        <v>117</v>
      </c>
      <c r="BP137">
        <v>19</v>
      </c>
      <c r="BQ137" t="s">
        <v>115</v>
      </c>
      <c r="BR137" t="s">
        <v>118</v>
      </c>
      <c r="BT137" t="s">
        <v>1097</v>
      </c>
      <c r="BU137" t="s">
        <v>1098</v>
      </c>
      <c r="BV137" t="s">
        <v>1098</v>
      </c>
      <c r="BW137" t="s">
        <v>1098</v>
      </c>
      <c r="BX137" t="s">
        <v>1099</v>
      </c>
      <c r="BY137" t="s">
        <v>1801</v>
      </c>
      <c r="BZ137" t="s">
        <v>1802</v>
      </c>
      <c r="CH137" t="s">
        <v>121</v>
      </c>
      <c r="CI137" t="s">
        <v>122</v>
      </c>
      <c r="CJ137" t="s">
        <v>1798</v>
      </c>
      <c r="CK137" t="s">
        <v>149</v>
      </c>
      <c r="CL137" t="s">
        <v>149</v>
      </c>
      <c r="CM137" t="s">
        <v>126</v>
      </c>
      <c r="CO137" t="s">
        <v>1100</v>
      </c>
      <c r="CP137" t="s">
        <v>1101</v>
      </c>
      <c r="CQ137" t="s">
        <v>1102</v>
      </c>
      <c r="CR137" t="s">
        <v>1478</v>
      </c>
      <c r="CS137" t="s">
        <v>1331</v>
      </c>
      <c r="CT137" t="s">
        <v>130</v>
      </c>
      <c r="CU137" t="s">
        <v>131</v>
      </c>
    </row>
    <row r="138" spans="1:99">
      <c r="A138" t="s">
        <v>1103</v>
      </c>
      <c r="B138" t="s">
        <v>99</v>
      </c>
      <c r="C138" t="b">
        <v>0</v>
      </c>
      <c r="D138" t="b">
        <v>0</v>
      </c>
      <c r="E138" t="s">
        <v>100</v>
      </c>
      <c r="F138" t="s">
        <v>1104</v>
      </c>
      <c r="G138" t="s">
        <v>102</v>
      </c>
      <c r="H138" t="s">
        <v>103</v>
      </c>
      <c r="I138" t="s">
        <v>100</v>
      </c>
      <c r="J138" t="b">
        <v>0</v>
      </c>
      <c r="K138" s="41">
        <v>45867.498449074083</v>
      </c>
      <c r="N138">
        <v>0</v>
      </c>
      <c r="O138" s="41">
        <v>45233.580243055563</v>
      </c>
      <c r="P138" s="41">
        <v>45925.772210648152</v>
      </c>
      <c r="Q138" s="42">
        <v>4</v>
      </c>
      <c r="R138" t="s">
        <v>105</v>
      </c>
      <c r="S138" s="42">
        <v>16384</v>
      </c>
      <c r="T138">
        <v>4096</v>
      </c>
      <c r="U138">
        <v>1</v>
      </c>
      <c r="V138">
        <v>1</v>
      </c>
      <c r="W138" s="42">
        <v>122880</v>
      </c>
      <c r="Y138" t="s">
        <v>1338</v>
      </c>
      <c r="Z138" t="s">
        <v>106</v>
      </c>
      <c r="AC138" t="b">
        <v>1</v>
      </c>
      <c r="AD138" t="s">
        <v>375</v>
      </c>
      <c r="AE138" t="s">
        <v>143</v>
      </c>
      <c r="AM138">
        <v>1</v>
      </c>
      <c r="AN138">
        <v>8192</v>
      </c>
      <c r="AO138" t="s">
        <v>1392</v>
      </c>
      <c r="AP138" t="s">
        <v>144</v>
      </c>
      <c r="AQ138" t="s">
        <v>145</v>
      </c>
      <c r="AS138" t="b">
        <v>1</v>
      </c>
      <c r="AT138" t="s">
        <v>113</v>
      </c>
      <c r="AV138" t="s">
        <v>104</v>
      </c>
      <c r="AW138">
        <v>-1</v>
      </c>
      <c r="AX138">
        <v>-1</v>
      </c>
      <c r="AZ138">
        <v>139368</v>
      </c>
      <c r="BA138">
        <v>139368</v>
      </c>
      <c r="BB138">
        <v>122880</v>
      </c>
      <c r="BC138" t="s">
        <v>114</v>
      </c>
      <c r="BD138" t="s">
        <v>115</v>
      </c>
      <c r="BE138" t="s">
        <v>116</v>
      </c>
      <c r="BH138" t="b">
        <v>0</v>
      </c>
      <c r="BI138">
        <v>0</v>
      </c>
      <c r="BJ138">
        <v>10000</v>
      </c>
      <c r="BK138" t="b">
        <v>0</v>
      </c>
      <c r="BL138" t="b">
        <v>0</v>
      </c>
      <c r="BN138" t="b">
        <v>0</v>
      </c>
      <c r="BO138" t="s">
        <v>117</v>
      </c>
      <c r="BP138">
        <v>19</v>
      </c>
      <c r="BQ138" t="s">
        <v>115</v>
      </c>
      <c r="BR138" t="s">
        <v>118</v>
      </c>
      <c r="BT138" t="s">
        <v>1105</v>
      </c>
      <c r="BU138" t="s">
        <v>1106</v>
      </c>
      <c r="BV138" t="s">
        <v>1106</v>
      </c>
      <c r="BW138" t="s">
        <v>1106</v>
      </c>
      <c r="BX138" t="s">
        <v>1107</v>
      </c>
      <c r="BY138" t="s">
        <v>1803</v>
      </c>
      <c r="BZ138" t="s">
        <v>1804</v>
      </c>
      <c r="CH138" t="s">
        <v>121</v>
      </c>
      <c r="CI138" t="s">
        <v>122</v>
      </c>
      <c r="CJ138" t="s">
        <v>1030</v>
      </c>
      <c r="CK138" t="s">
        <v>149</v>
      </c>
      <c r="CL138" t="s">
        <v>149</v>
      </c>
      <c r="CM138" t="s">
        <v>126</v>
      </c>
      <c r="CO138" t="s">
        <v>1108</v>
      </c>
      <c r="CP138" t="s">
        <v>1109</v>
      </c>
      <c r="CQ138" t="s">
        <v>1110</v>
      </c>
      <c r="CR138" t="s">
        <v>1478</v>
      </c>
      <c r="CS138" t="s">
        <v>1331</v>
      </c>
      <c r="CT138" t="s">
        <v>130</v>
      </c>
      <c r="CU138" t="s">
        <v>131</v>
      </c>
    </row>
    <row r="139" spans="1:99">
      <c r="A139" t="s">
        <v>1111</v>
      </c>
      <c r="B139" t="s">
        <v>99</v>
      </c>
      <c r="C139" t="b">
        <v>0</v>
      </c>
      <c r="D139" t="b">
        <v>0</v>
      </c>
      <c r="E139" t="s">
        <v>100</v>
      </c>
      <c r="F139" t="s">
        <v>1112</v>
      </c>
      <c r="G139" t="s">
        <v>102</v>
      </c>
      <c r="H139" t="s">
        <v>103</v>
      </c>
      <c r="I139" t="s">
        <v>100</v>
      </c>
      <c r="J139" t="b">
        <v>0</v>
      </c>
      <c r="K139" s="41">
        <v>45868.460370370369</v>
      </c>
      <c r="N139">
        <v>0</v>
      </c>
      <c r="O139" s="41">
        <v>45233.581932870373</v>
      </c>
      <c r="P139" s="41">
        <v>45926.987453703703</v>
      </c>
      <c r="Q139" s="42">
        <v>4</v>
      </c>
      <c r="R139" t="s">
        <v>1273</v>
      </c>
      <c r="S139" s="42">
        <v>16384</v>
      </c>
      <c r="T139">
        <v>7536</v>
      </c>
      <c r="U139">
        <v>1</v>
      </c>
      <c r="V139">
        <v>1</v>
      </c>
      <c r="W139" s="42">
        <v>122880</v>
      </c>
      <c r="Y139" t="s">
        <v>1340</v>
      </c>
      <c r="Z139" t="s">
        <v>106</v>
      </c>
      <c r="AC139" t="b">
        <v>1</v>
      </c>
      <c r="AD139" t="s">
        <v>384</v>
      </c>
      <c r="AE139" t="s">
        <v>143</v>
      </c>
      <c r="AM139">
        <v>1</v>
      </c>
      <c r="AN139">
        <v>8192</v>
      </c>
      <c r="AO139" t="s">
        <v>1392</v>
      </c>
      <c r="AP139" t="s">
        <v>144</v>
      </c>
      <c r="AQ139" t="s">
        <v>145</v>
      </c>
      <c r="AS139" t="b">
        <v>1</v>
      </c>
      <c r="AT139" t="s">
        <v>113</v>
      </c>
      <c r="AV139" t="s">
        <v>104</v>
      </c>
      <c r="AW139">
        <v>-1</v>
      </c>
      <c r="AX139">
        <v>-1</v>
      </c>
      <c r="AZ139">
        <v>139356</v>
      </c>
      <c r="BA139">
        <v>139356</v>
      </c>
      <c r="BB139">
        <v>122880</v>
      </c>
      <c r="BC139" t="s">
        <v>114</v>
      </c>
      <c r="BD139" t="s">
        <v>115</v>
      </c>
      <c r="BE139" t="s">
        <v>116</v>
      </c>
      <c r="BH139" t="b">
        <v>0</v>
      </c>
      <c r="BI139">
        <v>0</v>
      </c>
      <c r="BJ139">
        <v>10000</v>
      </c>
      <c r="BK139" t="b">
        <v>0</v>
      </c>
      <c r="BL139" t="b">
        <v>0</v>
      </c>
      <c r="BN139" t="b">
        <v>0</v>
      </c>
      <c r="BO139" t="s">
        <v>117</v>
      </c>
      <c r="BP139">
        <v>19</v>
      </c>
      <c r="BQ139" t="s">
        <v>115</v>
      </c>
      <c r="BR139" t="s">
        <v>118</v>
      </c>
      <c r="BT139" t="s">
        <v>1113</v>
      </c>
      <c r="BU139" t="s">
        <v>1114</v>
      </c>
      <c r="BV139" t="s">
        <v>1114</v>
      </c>
      <c r="BW139" t="s">
        <v>1114</v>
      </c>
      <c r="BX139" t="s">
        <v>1115</v>
      </c>
      <c r="BY139" t="s">
        <v>1805</v>
      </c>
      <c r="BZ139" t="s">
        <v>1806</v>
      </c>
      <c r="CH139" t="s">
        <v>121</v>
      </c>
      <c r="CI139" t="s">
        <v>122</v>
      </c>
      <c r="CJ139" t="s">
        <v>1377</v>
      </c>
      <c r="CK139" t="s">
        <v>149</v>
      </c>
      <c r="CL139" t="s">
        <v>149</v>
      </c>
      <c r="CM139" t="s">
        <v>126</v>
      </c>
      <c r="CO139" t="s">
        <v>1116</v>
      </c>
      <c r="CP139" t="s">
        <v>1117</v>
      </c>
      <c r="CQ139" t="s">
        <v>1118</v>
      </c>
      <c r="CR139" t="s">
        <v>1478</v>
      </c>
      <c r="CS139" t="s">
        <v>1331</v>
      </c>
      <c r="CT139" t="s">
        <v>130</v>
      </c>
      <c r="CU139" t="s">
        <v>131</v>
      </c>
    </row>
    <row r="140" spans="1:99">
      <c r="A140" t="s">
        <v>1119</v>
      </c>
      <c r="B140" t="s">
        <v>99</v>
      </c>
      <c r="C140" t="b">
        <v>0</v>
      </c>
      <c r="D140" t="b">
        <v>0</v>
      </c>
      <c r="E140" t="s">
        <v>100</v>
      </c>
      <c r="F140" t="s">
        <v>1120</v>
      </c>
      <c r="G140" t="s">
        <v>102</v>
      </c>
      <c r="H140" t="s">
        <v>103</v>
      </c>
      <c r="I140" t="s">
        <v>100</v>
      </c>
      <c r="J140" t="b">
        <v>0</v>
      </c>
      <c r="K140" s="41">
        <v>45868.460578703707</v>
      </c>
      <c r="N140">
        <v>0</v>
      </c>
      <c r="O140" s="41">
        <v>45233.583344907413</v>
      </c>
      <c r="P140" s="41">
        <v>45929.675324074073</v>
      </c>
      <c r="Q140" s="42">
        <v>4</v>
      </c>
      <c r="R140" t="s">
        <v>1273</v>
      </c>
      <c r="S140" s="42">
        <v>16384</v>
      </c>
      <c r="T140">
        <v>5242</v>
      </c>
      <c r="U140">
        <v>1</v>
      </c>
      <c r="V140">
        <v>1</v>
      </c>
      <c r="W140" s="42">
        <v>122880</v>
      </c>
      <c r="Y140" t="s">
        <v>1340</v>
      </c>
      <c r="Z140" t="s">
        <v>106</v>
      </c>
      <c r="AC140" t="b">
        <v>1</v>
      </c>
      <c r="AD140" t="s">
        <v>367</v>
      </c>
      <c r="AE140" t="s">
        <v>143</v>
      </c>
      <c r="AM140">
        <v>1</v>
      </c>
      <c r="AN140">
        <v>8192</v>
      </c>
      <c r="AO140" t="s">
        <v>1392</v>
      </c>
      <c r="AP140" t="s">
        <v>144</v>
      </c>
      <c r="AQ140" t="s">
        <v>145</v>
      </c>
      <c r="AS140" t="b">
        <v>1</v>
      </c>
      <c r="AT140" t="s">
        <v>113</v>
      </c>
      <c r="AV140" t="s">
        <v>104</v>
      </c>
      <c r="AW140">
        <v>-1</v>
      </c>
      <c r="AX140">
        <v>-1</v>
      </c>
      <c r="AZ140">
        <v>139378</v>
      </c>
      <c r="BA140">
        <v>139378</v>
      </c>
      <c r="BB140">
        <v>122880</v>
      </c>
      <c r="BC140" t="s">
        <v>114</v>
      </c>
      <c r="BD140" t="s">
        <v>115</v>
      </c>
      <c r="BE140" t="s">
        <v>116</v>
      </c>
      <c r="BH140" t="b">
        <v>0</v>
      </c>
      <c r="BI140">
        <v>0</v>
      </c>
      <c r="BJ140">
        <v>10000</v>
      </c>
      <c r="BK140" t="b">
        <v>0</v>
      </c>
      <c r="BL140" t="b">
        <v>0</v>
      </c>
      <c r="BN140" t="b">
        <v>0</v>
      </c>
      <c r="BO140" t="s">
        <v>117</v>
      </c>
      <c r="BP140">
        <v>19</v>
      </c>
      <c r="BQ140" t="s">
        <v>115</v>
      </c>
      <c r="BR140" t="s">
        <v>118</v>
      </c>
      <c r="BT140" t="s">
        <v>1121</v>
      </c>
      <c r="BU140" t="s">
        <v>1122</v>
      </c>
      <c r="BV140" t="s">
        <v>1122</v>
      </c>
      <c r="BW140" t="s">
        <v>1122</v>
      </c>
      <c r="BX140" t="s">
        <v>1123</v>
      </c>
      <c r="BY140" t="s">
        <v>1807</v>
      </c>
      <c r="BZ140" t="s">
        <v>1808</v>
      </c>
      <c r="CH140" t="s">
        <v>121</v>
      </c>
      <c r="CI140" t="s">
        <v>122</v>
      </c>
      <c r="CJ140" t="s">
        <v>180</v>
      </c>
      <c r="CK140" t="s">
        <v>149</v>
      </c>
      <c r="CL140" t="s">
        <v>149</v>
      </c>
      <c r="CM140" t="s">
        <v>126</v>
      </c>
      <c r="CO140" t="s">
        <v>1124</v>
      </c>
      <c r="CP140" t="s">
        <v>1125</v>
      </c>
      <c r="CQ140" t="s">
        <v>1126</v>
      </c>
      <c r="CR140" t="s">
        <v>1478</v>
      </c>
      <c r="CS140" t="s">
        <v>1331</v>
      </c>
      <c r="CT140" t="s">
        <v>130</v>
      </c>
      <c r="CU140" t="s">
        <v>131</v>
      </c>
    </row>
    <row r="141" spans="1:99">
      <c r="A141" t="s">
        <v>1127</v>
      </c>
      <c r="B141" t="s">
        <v>99</v>
      </c>
      <c r="C141" t="b">
        <v>0</v>
      </c>
      <c r="D141" t="b">
        <v>0</v>
      </c>
      <c r="E141" t="s">
        <v>100</v>
      </c>
      <c r="F141" t="s">
        <v>311</v>
      </c>
      <c r="G141" t="s">
        <v>102</v>
      </c>
      <c r="H141" t="s">
        <v>103</v>
      </c>
      <c r="I141" t="s">
        <v>100</v>
      </c>
      <c r="J141" t="b">
        <v>0</v>
      </c>
      <c r="K141" s="41">
        <v>45868.460729166669</v>
      </c>
      <c r="N141">
        <v>0</v>
      </c>
      <c r="O141" s="41">
        <v>45233.610462962963</v>
      </c>
      <c r="P141" s="41">
        <v>45927.203425925924</v>
      </c>
      <c r="Q141" s="42">
        <v>4</v>
      </c>
      <c r="R141" t="s">
        <v>105</v>
      </c>
      <c r="S141" s="42">
        <v>16384</v>
      </c>
      <c r="T141">
        <v>4096</v>
      </c>
      <c r="U141">
        <v>1</v>
      </c>
      <c r="V141">
        <v>1</v>
      </c>
      <c r="W141" s="42">
        <v>122880</v>
      </c>
      <c r="Y141" t="s">
        <v>1340</v>
      </c>
      <c r="Z141" t="s">
        <v>106</v>
      </c>
      <c r="AC141" t="b">
        <v>1</v>
      </c>
      <c r="AD141" t="s">
        <v>400</v>
      </c>
      <c r="AE141" t="s">
        <v>143</v>
      </c>
      <c r="AM141">
        <v>1</v>
      </c>
      <c r="AN141">
        <v>8192</v>
      </c>
      <c r="AO141" t="s">
        <v>1392</v>
      </c>
      <c r="AP141" t="s">
        <v>144</v>
      </c>
      <c r="AQ141" t="s">
        <v>145</v>
      </c>
      <c r="AS141" t="b">
        <v>1</v>
      </c>
      <c r="AT141" t="s">
        <v>113</v>
      </c>
      <c r="AV141" t="s">
        <v>104</v>
      </c>
      <c r="AW141">
        <v>-1</v>
      </c>
      <c r="AX141">
        <v>-1</v>
      </c>
      <c r="AZ141">
        <v>139357</v>
      </c>
      <c r="BA141">
        <v>139357</v>
      </c>
      <c r="BB141">
        <v>122880</v>
      </c>
      <c r="BC141" t="s">
        <v>114</v>
      </c>
      <c r="BD141" t="s">
        <v>115</v>
      </c>
      <c r="BE141" t="s">
        <v>116</v>
      </c>
      <c r="BH141" t="b">
        <v>0</v>
      </c>
      <c r="BI141">
        <v>0</v>
      </c>
      <c r="BJ141">
        <v>10000</v>
      </c>
      <c r="BK141" t="b">
        <v>0</v>
      </c>
      <c r="BL141" t="b">
        <v>0</v>
      </c>
      <c r="BN141" t="b">
        <v>0</v>
      </c>
      <c r="BO141" t="s">
        <v>117</v>
      </c>
      <c r="BP141">
        <v>19</v>
      </c>
      <c r="BQ141" t="s">
        <v>115</v>
      </c>
      <c r="BR141" t="s">
        <v>118</v>
      </c>
      <c r="BT141" t="s">
        <v>1128</v>
      </c>
      <c r="BU141" t="s">
        <v>1129</v>
      </c>
      <c r="BV141" t="s">
        <v>1129</v>
      </c>
      <c r="BW141" t="s">
        <v>1129</v>
      </c>
      <c r="BY141" t="s">
        <v>1809</v>
      </c>
      <c r="BZ141" t="s">
        <v>1810</v>
      </c>
      <c r="CH141" t="s">
        <v>121</v>
      </c>
      <c r="CI141" t="s">
        <v>122</v>
      </c>
      <c r="CJ141" t="s">
        <v>123</v>
      </c>
      <c r="CK141" t="s">
        <v>149</v>
      </c>
      <c r="CL141" t="s">
        <v>149</v>
      </c>
      <c r="CM141" t="s">
        <v>126</v>
      </c>
      <c r="CO141" t="s">
        <v>1131</v>
      </c>
      <c r="CP141" t="s">
        <v>1132</v>
      </c>
      <c r="CQ141" t="s">
        <v>1133</v>
      </c>
      <c r="CR141" t="s">
        <v>1478</v>
      </c>
      <c r="CS141" t="s">
        <v>1331</v>
      </c>
      <c r="CT141" t="s">
        <v>130</v>
      </c>
      <c r="CU141" t="s">
        <v>131</v>
      </c>
    </row>
    <row r="142" spans="1:99">
      <c r="A142" t="s">
        <v>1134</v>
      </c>
      <c r="B142" t="s">
        <v>99</v>
      </c>
      <c r="C142" t="b">
        <v>0</v>
      </c>
      <c r="D142" t="b">
        <v>0</v>
      </c>
      <c r="E142" t="s">
        <v>100</v>
      </c>
      <c r="F142" t="s">
        <v>315</v>
      </c>
      <c r="G142" t="s">
        <v>102</v>
      </c>
      <c r="H142" t="s">
        <v>103</v>
      </c>
      <c r="I142" t="s">
        <v>100</v>
      </c>
      <c r="J142" t="b">
        <v>0</v>
      </c>
      <c r="K142" s="41">
        <v>45868.461215277777</v>
      </c>
      <c r="N142">
        <v>0</v>
      </c>
      <c r="O142" s="41">
        <v>45233.614733796298</v>
      </c>
      <c r="P142" s="41">
        <v>45929.960185185177</v>
      </c>
      <c r="Q142" s="42">
        <v>4</v>
      </c>
      <c r="R142" t="s">
        <v>105</v>
      </c>
      <c r="S142" s="42">
        <v>16384</v>
      </c>
      <c r="T142">
        <v>4915</v>
      </c>
      <c r="U142">
        <v>1</v>
      </c>
      <c r="V142">
        <v>1</v>
      </c>
      <c r="W142" s="42">
        <v>122880</v>
      </c>
      <c r="Y142" t="s">
        <v>1340</v>
      </c>
      <c r="Z142" t="s">
        <v>106</v>
      </c>
      <c r="AC142" t="b">
        <v>1</v>
      </c>
      <c r="AD142" t="s">
        <v>423</v>
      </c>
      <c r="AE142" t="s">
        <v>143</v>
      </c>
      <c r="AM142">
        <v>1</v>
      </c>
      <c r="AN142">
        <v>8192</v>
      </c>
      <c r="AO142" t="s">
        <v>1392</v>
      </c>
      <c r="AP142" t="s">
        <v>144</v>
      </c>
      <c r="AQ142" t="s">
        <v>145</v>
      </c>
      <c r="AS142" t="b">
        <v>1</v>
      </c>
      <c r="AT142" t="s">
        <v>113</v>
      </c>
      <c r="AV142" t="s">
        <v>104</v>
      </c>
      <c r="AW142">
        <v>-1</v>
      </c>
      <c r="AX142">
        <v>-1</v>
      </c>
      <c r="AZ142">
        <v>139356</v>
      </c>
      <c r="BA142">
        <v>139356</v>
      </c>
      <c r="BB142">
        <v>122880</v>
      </c>
      <c r="BC142" t="s">
        <v>114</v>
      </c>
      <c r="BD142" t="s">
        <v>115</v>
      </c>
      <c r="BE142" t="s">
        <v>116</v>
      </c>
      <c r="BH142" t="b">
        <v>0</v>
      </c>
      <c r="BI142">
        <v>0</v>
      </c>
      <c r="BJ142">
        <v>10000</v>
      </c>
      <c r="BK142" t="b">
        <v>0</v>
      </c>
      <c r="BL142" t="b">
        <v>0</v>
      </c>
      <c r="BN142" t="b">
        <v>0</v>
      </c>
      <c r="BO142" t="s">
        <v>117</v>
      </c>
      <c r="BP142">
        <v>19</v>
      </c>
      <c r="BQ142" t="s">
        <v>115</v>
      </c>
      <c r="BR142" t="s">
        <v>118</v>
      </c>
      <c r="BT142" t="s">
        <v>1135</v>
      </c>
      <c r="BU142" t="s">
        <v>1136</v>
      </c>
      <c r="BV142" t="s">
        <v>1136</v>
      </c>
      <c r="BW142" t="s">
        <v>1136</v>
      </c>
      <c r="BY142" t="s">
        <v>1811</v>
      </c>
      <c r="BZ142" t="s">
        <v>1497</v>
      </c>
      <c r="CH142" t="s">
        <v>121</v>
      </c>
      <c r="CI142" t="s">
        <v>122</v>
      </c>
      <c r="CJ142" t="s">
        <v>223</v>
      </c>
      <c r="CK142" t="s">
        <v>149</v>
      </c>
      <c r="CL142" t="s">
        <v>149</v>
      </c>
      <c r="CM142" t="s">
        <v>126</v>
      </c>
      <c r="CO142" t="s">
        <v>1137</v>
      </c>
      <c r="CP142" t="s">
        <v>1138</v>
      </c>
      <c r="CQ142" t="s">
        <v>1139</v>
      </c>
      <c r="CR142" t="s">
        <v>1478</v>
      </c>
      <c r="CS142" t="s">
        <v>1331</v>
      </c>
      <c r="CT142" t="s">
        <v>130</v>
      </c>
      <c r="CU142" t="s">
        <v>131</v>
      </c>
    </row>
    <row r="143" spans="1:99">
      <c r="A143" t="s">
        <v>1140</v>
      </c>
      <c r="B143" t="s">
        <v>99</v>
      </c>
      <c r="C143" t="b">
        <v>0</v>
      </c>
      <c r="D143" t="b">
        <v>0</v>
      </c>
      <c r="E143" t="s">
        <v>100</v>
      </c>
      <c r="F143" t="s">
        <v>446</v>
      </c>
      <c r="G143" t="s">
        <v>102</v>
      </c>
      <c r="H143" t="s">
        <v>103</v>
      </c>
      <c r="I143" t="s">
        <v>100</v>
      </c>
      <c r="J143" t="b">
        <v>0</v>
      </c>
      <c r="K143" s="41">
        <v>45774.682476851849</v>
      </c>
      <c r="N143">
        <v>0</v>
      </c>
      <c r="O143" s="41">
        <v>45043.638240740736</v>
      </c>
      <c r="P143" s="41">
        <v>45929.952800925923</v>
      </c>
      <c r="Q143" s="42">
        <v>16</v>
      </c>
      <c r="R143" t="s">
        <v>105</v>
      </c>
      <c r="S143" s="42">
        <v>8192</v>
      </c>
      <c r="T143">
        <v>163</v>
      </c>
      <c r="U143">
        <v>4</v>
      </c>
      <c r="V143">
        <v>1</v>
      </c>
      <c r="W143" s="42">
        <v>512000</v>
      </c>
      <c r="Y143" t="s">
        <v>791</v>
      </c>
      <c r="Z143" t="s">
        <v>106</v>
      </c>
      <c r="AC143" t="b">
        <v>1</v>
      </c>
      <c r="AD143" t="s">
        <v>1141</v>
      </c>
      <c r="AE143" t="s">
        <v>1142</v>
      </c>
      <c r="AF143" t="s">
        <v>1143</v>
      </c>
      <c r="AG143" t="s">
        <v>1144</v>
      </c>
      <c r="AH143" t="s">
        <v>1145</v>
      </c>
      <c r="AM143">
        <v>1</v>
      </c>
      <c r="AN143">
        <v>4096</v>
      </c>
      <c r="AO143" t="s">
        <v>796</v>
      </c>
      <c r="AP143" t="s">
        <v>111</v>
      </c>
      <c r="AQ143" t="s">
        <v>112</v>
      </c>
      <c r="AS143" t="b">
        <v>1</v>
      </c>
      <c r="AT143" t="s">
        <v>113</v>
      </c>
      <c r="AV143" t="s">
        <v>104</v>
      </c>
      <c r="AW143">
        <v>-1</v>
      </c>
      <c r="AX143">
        <v>-1</v>
      </c>
      <c r="AZ143">
        <v>520292</v>
      </c>
      <c r="BA143">
        <v>520292</v>
      </c>
      <c r="BB143">
        <v>512000</v>
      </c>
      <c r="BC143" t="s">
        <v>114</v>
      </c>
      <c r="BD143" t="s">
        <v>115</v>
      </c>
      <c r="BE143" t="s">
        <v>116</v>
      </c>
      <c r="BH143" t="b">
        <v>0</v>
      </c>
      <c r="BI143">
        <v>0</v>
      </c>
      <c r="BJ143">
        <v>10000</v>
      </c>
      <c r="BK143" t="b">
        <v>0</v>
      </c>
      <c r="BL143" t="b">
        <v>0</v>
      </c>
      <c r="BN143" t="b">
        <v>0</v>
      </c>
      <c r="BO143" t="s">
        <v>117</v>
      </c>
      <c r="BP143">
        <v>14</v>
      </c>
      <c r="BQ143" t="s">
        <v>115</v>
      </c>
      <c r="BR143" t="s">
        <v>118</v>
      </c>
      <c r="BT143" t="s">
        <v>1146</v>
      </c>
      <c r="BU143" t="s">
        <v>1147</v>
      </c>
      <c r="BV143" t="s">
        <v>1147</v>
      </c>
      <c r="BW143" t="s">
        <v>1147</v>
      </c>
      <c r="BY143" t="s">
        <v>1812</v>
      </c>
      <c r="BZ143" t="s">
        <v>1813</v>
      </c>
      <c r="CH143" t="s">
        <v>121</v>
      </c>
      <c r="CI143" t="s">
        <v>803</v>
      </c>
      <c r="CJ143" t="s">
        <v>812</v>
      </c>
      <c r="CK143" t="s">
        <v>291</v>
      </c>
      <c r="CL143" t="s">
        <v>291</v>
      </c>
      <c r="CM143" t="s">
        <v>126</v>
      </c>
      <c r="CO143" t="s">
        <v>1148</v>
      </c>
      <c r="CP143" t="s">
        <v>1149</v>
      </c>
      <c r="CQ143" t="s">
        <v>1150</v>
      </c>
      <c r="CR143" t="s">
        <v>1478</v>
      </c>
      <c r="CS143" t="s">
        <v>1331</v>
      </c>
      <c r="CT143" t="s">
        <v>130</v>
      </c>
      <c r="CU143" t="s">
        <v>131</v>
      </c>
    </row>
    <row r="144" spans="1:99">
      <c r="Q144" s="55">
        <f>SUM(Q2:Q143)</f>
        <v>712</v>
      </c>
      <c r="S144" s="42">
        <f>SUM(S2:S143)</f>
        <v>1992704</v>
      </c>
      <c r="W144" s="42">
        <f>SUM(W2:W143)</f>
        <v>318806999</v>
      </c>
    </row>
    <row r="145" spans="19:23">
      <c r="S145" s="55">
        <f>S144/1024</f>
        <v>1946</v>
      </c>
      <c r="W145" s="42">
        <f>W144/1024</f>
        <v>311334.9599609375</v>
      </c>
    </row>
    <row r="146" spans="19:23">
      <c r="W146" s="55">
        <f>W145/1024</f>
        <v>304.03804683685303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89DFD-D1F0-4598-912F-C478AFB186C0}">
  <dimension ref="A1:DB47"/>
  <sheetViews>
    <sheetView topLeftCell="O1" workbookViewId="0">
      <pane ySplit="1" topLeftCell="A22" activePane="bottomLeft" state="frozen"/>
      <selection activeCell="B1" sqref="B1"/>
      <selection pane="bottomLeft" activeCell="Y37" sqref="Y37"/>
    </sheetView>
  </sheetViews>
  <sheetFormatPr baseColWidth="10" defaultRowHeight="15"/>
  <cols>
    <col min="1" max="1" width="41.7109375" customWidth="1"/>
    <col min="11" max="11" width="20.28515625" bestFit="1" customWidth="1"/>
    <col min="20" max="20" width="17.7109375" customWidth="1"/>
    <col min="23" max="23" width="26" customWidth="1"/>
    <col min="99" max="99" width="39.42578125" bestFit="1" customWidth="1"/>
    <col min="100" max="100" width="13.7109375" bestFit="1" customWidth="1"/>
    <col min="101" max="101" width="17.5703125" customWidth="1"/>
  </cols>
  <sheetData>
    <row r="1" spans="1:106" s="48" customForma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34</v>
      </c>
      <c r="AJ1" s="47" t="s">
        <v>35</v>
      </c>
      <c r="AK1" s="47" t="s">
        <v>36</v>
      </c>
      <c r="AL1" s="47" t="s">
        <v>37</v>
      </c>
      <c r="AM1" s="47" t="s">
        <v>38</v>
      </c>
      <c r="AN1" s="47" t="s">
        <v>39</v>
      </c>
      <c r="AO1" s="47" t="s">
        <v>40</v>
      </c>
      <c r="AP1" s="47" t="s">
        <v>41</v>
      </c>
      <c r="AQ1" s="47" t="s">
        <v>42</v>
      </c>
      <c r="AR1" s="47" t="s">
        <v>43</v>
      </c>
      <c r="AS1" s="47" t="s">
        <v>44</v>
      </c>
      <c r="AT1" s="47" t="s">
        <v>45</v>
      </c>
      <c r="AU1" s="47" t="s">
        <v>46</v>
      </c>
      <c r="AV1" s="47" t="s">
        <v>47</v>
      </c>
      <c r="AW1" s="47" t="s">
        <v>48</v>
      </c>
      <c r="AX1" s="47" t="s">
        <v>49</v>
      </c>
      <c r="AY1" s="47" t="s">
        <v>50</v>
      </c>
      <c r="AZ1" s="47" t="s">
        <v>51</v>
      </c>
      <c r="BA1" s="47" t="s">
        <v>52</v>
      </c>
      <c r="BB1" s="47" t="s">
        <v>53</v>
      </c>
      <c r="BC1" s="47" t="s">
        <v>54</v>
      </c>
      <c r="BD1" s="47" t="s">
        <v>55</v>
      </c>
      <c r="BE1" s="47" t="s">
        <v>56</v>
      </c>
      <c r="BF1" s="47" t="s">
        <v>57</v>
      </c>
      <c r="BG1" s="47" t="s">
        <v>58</v>
      </c>
      <c r="BH1" s="47" t="s">
        <v>59</v>
      </c>
      <c r="BI1" s="47" t="s">
        <v>60</v>
      </c>
      <c r="BJ1" s="47" t="s">
        <v>61</v>
      </c>
      <c r="BK1" s="47" t="s">
        <v>62</v>
      </c>
      <c r="BL1" s="47" t="s">
        <v>63</v>
      </c>
      <c r="BM1" s="47" t="s">
        <v>64</v>
      </c>
      <c r="BN1" s="47" t="s">
        <v>65</v>
      </c>
      <c r="BO1" s="47" t="s">
        <v>66</v>
      </c>
      <c r="BP1" s="47" t="s">
        <v>67</v>
      </c>
      <c r="BQ1" s="47" t="s">
        <v>68</v>
      </c>
      <c r="BR1" s="47" t="s">
        <v>69</v>
      </c>
      <c r="BS1" s="47" t="s">
        <v>70</v>
      </c>
      <c r="BT1" s="47" t="s">
        <v>71</v>
      </c>
      <c r="BU1" s="47" t="s">
        <v>72</v>
      </c>
      <c r="BV1" s="47" t="s">
        <v>73</v>
      </c>
      <c r="BW1" s="47" t="s">
        <v>74</v>
      </c>
      <c r="BX1" s="47" t="s">
        <v>75</v>
      </c>
      <c r="BY1" s="47" t="s">
        <v>76</v>
      </c>
      <c r="BZ1" s="47" t="s">
        <v>77</v>
      </c>
      <c r="CA1" s="47" t="s">
        <v>78</v>
      </c>
      <c r="CB1" s="47" t="s">
        <v>79</v>
      </c>
      <c r="CC1" s="47" t="s">
        <v>80</v>
      </c>
      <c r="CD1" s="47" t="s">
        <v>81</v>
      </c>
      <c r="CE1" s="47" t="s">
        <v>82</v>
      </c>
      <c r="CF1" s="47" t="s">
        <v>1372</v>
      </c>
      <c r="CG1" s="47" t="s">
        <v>83</v>
      </c>
      <c r="CH1" s="47" t="s">
        <v>84</v>
      </c>
      <c r="CI1" s="47" t="s">
        <v>85</v>
      </c>
      <c r="CJ1" s="47" t="s">
        <v>86</v>
      </c>
      <c r="CK1" s="47" t="s">
        <v>87</v>
      </c>
      <c r="CL1" s="47" t="s">
        <v>88</v>
      </c>
      <c r="CM1" s="47" t="s">
        <v>89</v>
      </c>
      <c r="CN1" s="47" t="s">
        <v>90</v>
      </c>
      <c r="CO1" s="47" t="s">
        <v>91</v>
      </c>
      <c r="CP1" s="47" t="s">
        <v>92</v>
      </c>
      <c r="CQ1" s="47" t="s">
        <v>93</v>
      </c>
      <c r="CR1" s="47" t="s">
        <v>94</v>
      </c>
      <c r="CS1" s="47" t="s">
        <v>95</v>
      </c>
      <c r="CT1" s="47" t="s">
        <v>96</v>
      </c>
      <c r="CU1" s="47" t="s">
        <v>97</v>
      </c>
      <c r="CV1" s="47" t="s">
        <v>1151</v>
      </c>
      <c r="CW1" s="47" t="s">
        <v>1198</v>
      </c>
      <c r="CX1" s="47"/>
      <c r="CY1" s="47"/>
      <c r="CZ1" s="47"/>
      <c r="DA1" s="47"/>
      <c r="DB1" s="47"/>
    </row>
    <row r="2" spans="1:106">
      <c r="A2" t="s">
        <v>193</v>
      </c>
      <c r="B2" t="s">
        <v>304</v>
      </c>
      <c r="C2" t="b">
        <v>0</v>
      </c>
      <c r="D2" t="b">
        <v>0</v>
      </c>
      <c r="E2" t="s">
        <v>100</v>
      </c>
      <c r="F2" t="s">
        <v>194</v>
      </c>
      <c r="G2" t="s">
        <v>102</v>
      </c>
      <c r="H2" t="s">
        <v>305</v>
      </c>
      <c r="I2" t="s">
        <v>104</v>
      </c>
      <c r="J2" t="b">
        <v>0</v>
      </c>
      <c r="N2">
        <v>0</v>
      </c>
      <c r="O2" s="41">
        <v>45857.881574074083</v>
      </c>
      <c r="P2" s="41">
        <v>45912.461481481478</v>
      </c>
      <c r="Q2">
        <v>4</v>
      </c>
      <c r="S2">
        <v>16384</v>
      </c>
      <c r="T2">
        <v>0</v>
      </c>
      <c r="U2">
        <v>0</v>
      </c>
      <c r="V2">
        <v>0</v>
      </c>
      <c r="W2">
        <v>0</v>
      </c>
      <c r="Z2" t="s">
        <v>106</v>
      </c>
      <c r="AB2" t="b">
        <v>1</v>
      </c>
      <c r="AM2">
        <v>1</v>
      </c>
      <c r="AN2">
        <v>4096</v>
      </c>
      <c r="AO2" t="s">
        <v>1248</v>
      </c>
      <c r="AP2" t="s">
        <v>1205</v>
      </c>
      <c r="AQ2" t="s">
        <v>1206</v>
      </c>
      <c r="AT2" t="s">
        <v>113</v>
      </c>
      <c r="AV2" t="s">
        <v>104</v>
      </c>
      <c r="AW2">
        <v>-1</v>
      </c>
      <c r="AX2">
        <v>-1</v>
      </c>
      <c r="AZ2">
        <v>18114</v>
      </c>
      <c r="BA2">
        <v>0</v>
      </c>
      <c r="BB2">
        <v>0</v>
      </c>
      <c r="BC2" t="s">
        <v>114</v>
      </c>
      <c r="BD2" t="s">
        <v>115</v>
      </c>
      <c r="BE2" t="s">
        <v>116</v>
      </c>
      <c r="BH2" t="b">
        <v>0</v>
      </c>
      <c r="BI2">
        <v>0</v>
      </c>
      <c r="BJ2">
        <v>10000</v>
      </c>
      <c r="BK2" t="b">
        <v>0</v>
      </c>
      <c r="BL2" t="b">
        <v>0</v>
      </c>
      <c r="BN2" t="b">
        <v>0</v>
      </c>
      <c r="BO2" t="s">
        <v>117</v>
      </c>
      <c r="BP2">
        <v>19</v>
      </c>
      <c r="BQ2" t="s">
        <v>115</v>
      </c>
      <c r="BR2" t="s">
        <v>118</v>
      </c>
      <c r="BT2" t="s">
        <v>1814</v>
      </c>
      <c r="BU2" t="s">
        <v>1815</v>
      </c>
      <c r="BV2" t="s">
        <v>1815</v>
      </c>
      <c r="BW2" t="s">
        <v>1815</v>
      </c>
      <c r="BX2" t="s">
        <v>179</v>
      </c>
      <c r="CA2" t="s">
        <v>1207</v>
      </c>
      <c r="CH2" t="s">
        <v>1200</v>
      </c>
      <c r="CI2" t="s">
        <v>1201</v>
      </c>
      <c r="CJ2" t="s">
        <v>1246</v>
      </c>
      <c r="CK2" t="s">
        <v>160</v>
      </c>
      <c r="CL2" t="s">
        <v>160</v>
      </c>
      <c r="CO2" t="s">
        <v>1207</v>
      </c>
      <c r="CP2" t="s">
        <v>1816</v>
      </c>
      <c r="CQ2" t="s">
        <v>1817</v>
      </c>
      <c r="CR2" t="s">
        <v>1478</v>
      </c>
      <c r="CS2" t="s">
        <v>1331</v>
      </c>
      <c r="CT2" t="s">
        <v>1203</v>
      </c>
      <c r="CU2" t="s">
        <v>1204</v>
      </c>
    </row>
    <row r="3" spans="1:106">
      <c r="A3" t="s">
        <v>475</v>
      </c>
      <c r="B3" t="s">
        <v>304</v>
      </c>
      <c r="C3" t="b">
        <v>0</v>
      </c>
      <c r="D3" t="b">
        <v>0</v>
      </c>
      <c r="E3" t="s">
        <v>100</v>
      </c>
      <c r="F3" t="s">
        <v>476</v>
      </c>
      <c r="G3" t="s">
        <v>102</v>
      </c>
      <c r="H3" t="s">
        <v>305</v>
      </c>
      <c r="I3" t="s">
        <v>104</v>
      </c>
      <c r="J3" t="b">
        <v>0</v>
      </c>
      <c r="N3">
        <v>0</v>
      </c>
      <c r="O3" s="41">
        <v>45857.882476851853</v>
      </c>
      <c r="P3" s="41">
        <v>45857.882488425923</v>
      </c>
      <c r="Q3">
        <v>2</v>
      </c>
      <c r="S3">
        <v>4096</v>
      </c>
      <c r="T3">
        <v>0</v>
      </c>
      <c r="U3">
        <v>0</v>
      </c>
      <c r="V3">
        <v>0</v>
      </c>
      <c r="W3">
        <v>0</v>
      </c>
      <c r="Z3" t="s">
        <v>106</v>
      </c>
      <c r="AB3" t="b">
        <v>1</v>
      </c>
      <c r="AM3">
        <v>1</v>
      </c>
      <c r="AN3">
        <v>4096</v>
      </c>
      <c r="AO3" t="s">
        <v>1208</v>
      </c>
      <c r="AP3" t="s">
        <v>1209</v>
      </c>
      <c r="AQ3" t="s">
        <v>1210</v>
      </c>
      <c r="AT3" t="s">
        <v>113</v>
      </c>
      <c r="AV3" t="s">
        <v>104</v>
      </c>
      <c r="AW3">
        <v>-1</v>
      </c>
      <c r="AX3">
        <v>-1</v>
      </c>
      <c r="AZ3">
        <v>5951</v>
      </c>
      <c r="BA3">
        <v>0</v>
      </c>
      <c r="BB3">
        <v>0</v>
      </c>
      <c r="BC3" t="s">
        <v>114</v>
      </c>
      <c r="BD3" t="s">
        <v>115</v>
      </c>
      <c r="BE3" t="s">
        <v>116</v>
      </c>
      <c r="BH3" t="b">
        <v>0</v>
      </c>
      <c r="BI3">
        <v>0</v>
      </c>
      <c r="BJ3">
        <v>10000</v>
      </c>
      <c r="BK3" t="b">
        <v>0</v>
      </c>
      <c r="BL3" t="b">
        <v>0</v>
      </c>
      <c r="BN3" t="b">
        <v>0</v>
      </c>
      <c r="BO3" t="s">
        <v>117</v>
      </c>
      <c r="BP3">
        <v>15</v>
      </c>
      <c r="BQ3" t="s">
        <v>115</v>
      </c>
      <c r="BR3" t="s">
        <v>118</v>
      </c>
      <c r="BT3" t="s">
        <v>1818</v>
      </c>
      <c r="BU3" t="s">
        <v>1819</v>
      </c>
      <c r="BV3" t="s">
        <v>1819</v>
      </c>
      <c r="BW3" t="s">
        <v>1819</v>
      </c>
      <c r="CA3" t="s">
        <v>1212</v>
      </c>
      <c r="CH3" t="s">
        <v>1200</v>
      </c>
      <c r="CI3" t="s">
        <v>1201</v>
      </c>
      <c r="CJ3" t="s">
        <v>1202</v>
      </c>
      <c r="CK3" t="s">
        <v>487</v>
      </c>
      <c r="CL3" t="s">
        <v>487</v>
      </c>
      <c r="CO3" t="s">
        <v>1212</v>
      </c>
      <c r="CP3" t="s">
        <v>1820</v>
      </c>
      <c r="CQ3" t="s">
        <v>1821</v>
      </c>
      <c r="CR3" t="s">
        <v>1478</v>
      </c>
      <c r="CS3" t="s">
        <v>1331</v>
      </c>
      <c r="CT3" t="s">
        <v>1203</v>
      </c>
      <c r="CU3" t="s">
        <v>1204</v>
      </c>
    </row>
    <row r="4" spans="1:106">
      <c r="A4" t="s">
        <v>490</v>
      </c>
      <c r="B4" t="s">
        <v>304</v>
      </c>
      <c r="C4" t="b">
        <v>0</v>
      </c>
      <c r="D4" t="b">
        <v>0</v>
      </c>
      <c r="E4" t="s">
        <v>100</v>
      </c>
      <c r="F4" t="s">
        <v>491</v>
      </c>
      <c r="G4" t="s">
        <v>102</v>
      </c>
      <c r="H4" t="s">
        <v>305</v>
      </c>
      <c r="I4" t="s">
        <v>104</v>
      </c>
      <c r="J4" t="b">
        <v>0</v>
      </c>
      <c r="N4">
        <v>0</v>
      </c>
      <c r="O4" s="41">
        <v>45086.842326388891</v>
      </c>
      <c r="P4" s="41">
        <v>45750.031215277777</v>
      </c>
      <c r="Q4">
        <v>4</v>
      </c>
      <c r="S4">
        <v>4096</v>
      </c>
      <c r="T4">
        <v>0</v>
      </c>
      <c r="U4">
        <v>0</v>
      </c>
      <c r="V4">
        <v>0</v>
      </c>
      <c r="W4">
        <v>0</v>
      </c>
      <c r="Z4" t="s">
        <v>106</v>
      </c>
      <c r="AM4">
        <v>1</v>
      </c>
      <c r="AN4">
        <v>4096</v>
      </c>
      <c r="AO4" t="s">
        <v>1213</v>
      </c>
      <c r="AP4" t="s">
        <v>1205</v>
      </c>
      <c r="AQ4" t="s">
        <v>1206</v>
      </c>
      <c r="AS4" t="b">
        <v>1</v>
      </c>
      <c r="AT4" t="s">
        <v>113</v>
      </c>
      <c r="AV4" t="s">
        <v>104</v>
      </c>
      <c r="AW4">
        <v>-1</v>
      </c>
      <c r="AX4">
        <v>-1</v>
      </c>
      <c r="AZ4">
        <v>5298</v>
      </c>
      <c r="BA4">
        <v>0</v>
      </c>
      <c r="BB4">
        <v>0</v>
      </c>
      <c r="BC4" t="s">
        <v>114</v>
      </c>
      <c r="BD4" t="s">
        <v>115</v>
      </c>
      <c r="BE4" t="s">
        <v>116</v>
      </c>
      <c r="BH4" t="b">
        <v>0</v>
      </c>
      <c r="BI4">
        <v>0</v>
      </c>
      <c r="BJ4">
        <v>10000</v>
      </c>
      <c r="BK4" t="b">
        <v>0</v>
      </c>
      <c r="BL4" t="b">
        <v>0</v>
      </c>
      <c r="BN4" t="b">
        <v>0</v>
      </c>
      <c r="BO4" t="s">
        <v>117</v>
      </c>
      <c r="BP4">
        <v>13</v>
      </c>
      <c r="BQ4" t="s">
        <v>115</v>
      </c>
      <c r="BR4" t="s">
        <v>118</v>
      </c>
      <c r="BT4" t="s">
        <v>1214</v>
      </c>
      <c r="BU4" t="s">
        <v>1215</v>
      </c>
      <c r="BV4" t="s">
        <v>1215</v>
      </c>
      <c r="BW4" t="s">
        <v>1215</v>
      </c>
      <c r="BX4" t="s">
        <v>499</v>
      </c>
      <c r="CA4" t="s">
        <v>1216</v>
      </c>
      <c r="CH4" t="s">
        <v>1200</v>
      </c>
      <c r="CI4" t="s">
        <v>1201</v>
      </c>
      <c r="CJ4" t="s">
        <v>1822</v>
      </c>
      <c r="CK4" t="s">
        <v>503</v>
      </c>
      <c r="CO4" t="s">
        <v>1216</v>
      </c>
      <c r="CP4" t="s">
        <v>1217</v>
      </c>
      <c r="CQ4" t="s">
        <v>1218</v>
      </c>
      <c r="CR4" t="s">
        <v>1478</v>
      </c>
      <c r="CS4" t="s">
        <v>1331</v>
      </c>
      <c r="CT4" t="s">
        <v>1203</v>
      </c>
      <c r="CU4" t="s">
        <v>1204</v>
      </c>
    </row>
    <row r="5" spans="1:106">
      <c r="A5" t="s">
        <v>534</v>
      </c>
      <c r="B5" t="s">
        <v>304</v>
      </c>
      <c r="C5" t="b">
        <v>0</v>
      </c>
      <c r="D5" t="b">
        <v>0</v>
      </c>
      <c r="E5" t="s">
        <v>100</v>
      </c>
      <c r="G5" t="s">
        <v>102</v>
      </c>
      <c r="H5" t="s">
        <v>305</v>
      </c>
      <c r="I5" t="s">
        <v>104</v>
      </c>
      <c r="J5" t="b">
        <v>0</v>
      </c>
      <c r="N5">
        <v>0</v>
      </c>
      <c r="O5" s="41">
        <v>45722.395127314812</v>
      </c>
      <c r="P5" s="41">
        <v>45730.621168981481</v>
      </c>
      <c r="Q5">
        <v>2</v>
      </c>
      <c r="S5">
        <v>8192</v>
      </c>
      <c r="T5">
        <v>0</v>
      </c>
      <c r="U5">
        <v>0</v>
      </c>
      <c r="V5">
        <v>0</v>
      </c>
      <c r="W5">
        <v>0</v>
      </c>
      <c r="Z5" t="s">
        <v>106</v>
      </c>
      <c r="AB5" t="b">
        <v>1</v>
      </c>
      <c r="AM5">
        <v>1</v>
      </c>
      <c r="AN5">
        <v>4096</v>
      </c>
      <c r="AO5" t="s">
        <v>1208</v>
      </c>
      <c r="AP5" t="s">
        <v>1209</v>
      </c>
      <c r="AQ5" t="s">
        <v>1210</v>
      </c>
      <c r="AT5" t="s">
        <v>113</v>
      </c>
      <c r="AV5" t="s">
        <v>104</v>
      </c>
      <c r="AW5">
        <v>-1</v>
      </c>
      <c r="AX5">
        <v>-1</v>
      </c>
      <c r="AZ5">
        <v>9392</v>
      </c>
      <c r="BA5">
        <v>0</v>
      </c>
      <c r="BB5">
        <v>0</v>
      </c>
      <c r="BC5" t="s">
        <v>114</v>
      </c>
      <c r="BD5" t="s">
        <v>115</v>
      </c>
      <c r="BE5" t="s">
        <v>116</v>
      </c>
      <c r="BH5" t="b">
        <v>0</v>
      </c>
      <c r="BI5">
        <v>0</v>
      </c>
      <c r="BJ5">
        <v>10000</v>
      </c>
      <c r="BK5" t="b">
        <v>0</v>
      </c>
      <c r="BL5" t="b">
        <v>0</v>
      </c>
      <c r="BN5" t="b">
        <v>0</v>
      </c>
      <c r="BO5" t="s">
        <v>117</v>
      </c>
      <c r="BP5">
        <v>13</v>
      </c>
      <c r="BQ5" t="s">
        <v>115</v>
      </c>
      <c r="BR5" t="s">
        <v>118</v>
      </c>
      <c r="BT5" t="s">
        <v>1219</v>
      </c>
      <c r="BU5" t="s">
        <v>1220</v>
      </c>
      <c r="BV5" t="s">
        <v>1220</v>
      </c>
      <c r="BW5" t="s">
        <v>1220</v>
      </c>
      <c r="BX5" t="s">
        <v>540</v>
      </c>
      <c r="CH5" t="s">
        <v>1200</v>
      </c>
      <c r="CI5" t="s">
        <v>1201</v>
      </c>
      <c r="CJ5" t="s">
        <v>1231</v>
      </c>
      <c r="CK5" t="s">
        <v>487</v>
      </c>
      <c r="CO5" t="s">
        <v>1221</v>
      </c>
      <c r="CP5" t="s">
        <v>1222</v>
      </c>
      <c r="CQ5" t="s">
        <v>1223</v>
      </c>
      <c r="CR5" t="s">
        <v>1478</v>
      </c>
      <c r="CS5" t="s">
        <v>1331</v>
      </c>
      <c r="CT5" t="s">
        <v>1203</v>
      </c>
      <c r="CU5" t="s">
        <v>1204</v>
      </c>
    </row>
    <row r="6" spans="1:106">
      <c r="A6" t="s">
        <v>544</v>
      </c>
      <c r="B6" t="s">
        <v>304</v>
      </c>
      <c r="C6" t="b">
        <v>0</v>
      </c>
      <c r="D6" t="b">
        <v>0</v>
      </c>
      <c r="E6" t="s">
        <v>100</v>
      </c>
      <c r="F6" t="s">
        <v>545</v>
      </c>
      <c r="G6" t="s">
        <v>102</v>
      </c>
      <c r="H6" t="s">
        <v>305</v>
      </c>
      <c r="I6" t="s">
        <v>104</v>
      </c>
      <c r="J6" t="b">
        <v>0</v>
      </c>
      <c r="N6">
        <v>0</v>
      </c>
      <c r="O6" s="41">
        <v>45086.842465277783</v>
      </c>
      <c r="P6" s="41">
        <v>45750.031215277777</v>
      </c>
      <c r="Q6">
        <v>8</v>
      </c>
      <c r="S6">
        <v>4096</v>
      </c>
      <c r="T6">
        <v>0</v>
      </c>
      <c r="U6">
        <v>0</v>
      </c>
      <c r="V6">
        <v>0</v>
      </c>
      <c r="W6">
        <v>0</v>
      </c>
      <c r="Z6" t="s">
        <v>106</v>
      </c>
      <c r="AM6">
        <v>1</v>
      </c>
      <c r="AN6">
        <v>4096</v>
      </c>
      <c r="AO6" t="s">
        <v>1213</v>
      </c>
      <c r="AP6" t="s">
        <v>1209</v>
      </c>
      <c r="AQ6" t="s">
        <v>1210</v>
      </c>
      <c r="AS6" t="b">
        <v>1</v>
      </c>
      <c r="AT6" t="s">
        <v>113</v>
      </c>
      <c r="AV6" t="s">
        <v>104</v>
      </c>
      <c r="AW6">
        <v>-1</v>
      </c>
      <c r="AX6">
        <v>-1</v>
      </c>
      <c r="AZ6">
        <v>5302</v>
      </c>
      <c r="BA6">
        <v>0</v>
      </c>
      <c r="BB6">
        <v>0</v>
      </c>
      <c r="BC6" t="s">
        <v>114</v>
      </c>
      <c r="BD6" t="s">
        <v>115</v>
      </c>
      <c r="BE6" t="s">
        <v>116</v>
      </c>
      <c r="BH6" t="b">
        <v>0</v>
      </c>
      <c r="BI6">
        <v>0</v>
      </c>
      <c r="BJ6">
        <v>10000</v>
      </c>
      <c r="BK6" t="b">
        <v>0</v>
      </c>
      <c r="BL6" t="b">
        <v>0</v>
      </c>
      <c r="BN6" t="b">
        <v>0</v>
      </c>
      <c r="BO6" t="s">
        <v>117</v>
      </c>
      <c r="BP6">
        <v>13</v>
      </c>
      <c r="BQ6" t="s">
        <v>115</v>
      </c>
      <c r="BR6" t="s">
        <v>118</v>
      </c>
      <c r="BT6" t="s">
        <v>1224</v>
      </c>
      <c r="BU6" t="s">
        <v>1225</v>
      </c>
      <c r="BV6" t="s">
        <v>1225</v>
      </c>
      <c r="BW6" t="s">
        <v>1225</v>
      </c>
      <c r="CA6" t="s">
        <v>1226</v>
      </c>
      <c r="CH6" t="s">
        <v>1200</v>
      </c>
      <c r="CI6" t="s">
        <v>1201</v>
      </c>
      <c r="CJ6" t="s">
        <v>1822</v>
      </c>
      <c r="CK6" t="s">
        <v>503</v>
      </c>
      <c r="CO6" t="s">
        <v>1226</v>
      </c>
      <c r="CP6" t="s">
        <v>1227</v>
      </c>
      <c r="CQ6" t="s">
        <v>1228</v>
      </c>
      <c r="CR6" t="s">
        <v>1478</v>
      </c>
      <c r="CS6" t="s">
        <v>1331</v>
      </c>
      <c r="CT6" t="s">
        <v>1203</v>
      </c>
      <c r="CU6" t="s">
        <v>1204</v>
      </c>
    </row>
    <row r="7" spans="1:106">
      <c r="A7" t="s">
        <v>571</v>
      </c>
      <c r="B7" t="s">
        <v>304</v>
      </c>
      <c r="C7" t="b">
        <v>0</v>
      </c>
      <c r="D7" t="b">
        <v>0</v>
      </c>
      <c r="E7" t="s">
        <v>100</v>
      </c>
      <c r="G7" t="s">
        <v>102</v>
      </c>
      <c r="H7" t="s">
        <v>305</v>
      </c>
      <c r="I7" t="s">
        <v>104</v>
      </c>
      <c r="J7" t="b">
        <v>0</v>
      </c>
      <c r="N7">
        <v>0</v>
      </c>
      <c r="O7" s="41">
        <v>45754.665509259263</v>
      </c>
      <c r="P7" s="41">
        <v>45754.665509259263</v>
      </c>
      <c r="Q7">
        <v>4</v>
      </c>
      <c r="S7">
        <v>4096</v>
      </c>
      <c r="T7">
        <v>0</v>
      </c>
      <c r="U7">
        <v>0</v>
      </c>
      <c r="V7">
        <v>0</v>
      </c>
      <c r="W7">
        <v>0</v>
      </c>
      <c r="Z7" t="s">
        <v>106</v>
      </c>
      <c r="AM7">
        <v>1</v>
      </c>
      <c r="AN7">
        <v>4096</v>
      </c>
      <c r="AO7" t="s">
        <v>1213</v>
      </c>
      <c r="AP7" t="s">
        <v>1209</v>
      </c>
      <c r="AQ7" t="s">
        <v>1210</v>
      </c>
      <c r="AT7" t="s">
        <v>113</v>
      </c>
      <c r="AV7" t="s">
        <v>104</v>
      </c>
      <c r="AW7">
        <v>-1</v>
      </c>
      <c r="AX7">
        <v>-1</v>
      </c>
      <c r="AZ7">
        <v>5298</v>
      </c>
      <c r="BA7">
        <v>0</v>
      </c>
      <c r="BB7">
        <v>0</v>
      </c>
      <c r="BC7" t="s">
        <v>114</v>
      </c>
      <c r="BD7" t="s">
        <v>115</v>
      </c>
      <c r="BE7" t="s">
        <v>116</v>
      </c>
      <c r="BH7" t="b">
        <v>0</v>
      </c>
      <c r="BI7">
        <v>0</v>
      </c>
      <c r="BJ7">
        <v>10000</v>
      </c>
      <c r="BK7" t="b">
        <v>0</v>
      </c>
      <c r="BL7" t="b">
        <v>0</v>
      </c>
      <c r="BN7" t="b">
        <v>0</v>
      </c>
      <c r="BO7" t="s">
        <v>117</v>
      </c>
      <c r="BP7">
        <v>13</v>
      </c>
      <c r="BQ7" t="s">
        <v>115</v>
      </c>
      <c r="BR7" t="s">
        <v>118</v>
      </c>
      <c r="BT7" t="s">
        <v>1823</v>
      </c>
      <c r="BU7" t="s">
        <v>1824</v>
      </c>
      <c r="BV7" t="s">
        <v>1824</v>
      </c>
      <c r="BW7" t="s">
        <v>1824</v>
      </c>
      <c r="CH7" t="s">
        <v>1200</v>
      </c>
      <c r="CI7" t="s">
        <v>1201</v>
      </c>
      <c r="CJ7" t="s">
        <v>1202</v>
      </c>
      <c r="CK7" t="s">
        <v>503</v>
      </c>
      <c r="CO7" t="s">
        <v>1825</v>
      </c>
      <c r="CP7" t="s">
        <v>1826</v>
      </c>
      <c r="CQ7" t="s">
        <v>1827</v>
      </c>
      <c r="CR7" t="s">
        <v>1478</v>
      </c>
      <c r="CS7" t="s">
        <v>1331</v>
      </c>
      <c r="CT7" t="s">
        <v>1203</v>
      </c>
      <c r="CU7" t="s">
        <v>1204</v>
      </c>
    </row>
    <row r="8" spans="1:106">
      <c r="A8" t="s">
        <v>648</v>
      </c>
      <c r="B8" t="s">
        <v>304</v>
      </c>
      <c r="C8" t="b">
        <v>0</v>
      </c>
      <c r="D8" t="b">
        <v>0</v>
      </c>
      <c r="E8" t="s">
        <v>100</v>
      </c>
      <c r="F8" t="s">
        <v>649</v>
      </c>
      <c r="G8" t="s">
        <v>102</v>
      </c>
      <c r="H8" t="s">
        <v>305</v>
      </c>
      <c r="I8" t="s">
        <v>104</v>
      </c>
      <c r="J8" t="b">
        <v>0</v>
      </c>
      <c r="N8">
        <v>0</v>
      </c>
      <c r="O8" s="41">
        <v>45356.729178240741</v>
      </c>
      <c r="P8" s="41">
        <v>45730.571458333332</v>
      </c>
      <c r="Q8">
        <v>4</v>
      </c>
      <c r="S8">
        <v>12288</v>
      </c>
      <c r="T8">
        <v>0</v>
      </c>
      <c r="U8">
        <v>0</v>
      </c>
      <c r="V8">
        <v>0</v>
      </c>
      <c r="W8">
        <v>0</v>
      </c>
      <c r="Z8" t="s">
        <v>106</v>
      </c>
      <c r="AB8" t="b">
        <v>1</v>
      </c>
      <c r="AM8">
        <v>1</v>
      </c>
      <c r="AN8">
        <v>4096</v>
      </c>
      <c r="AO8" t="s">
        <v>1213</v>
      </c>
      <c r="AP8" t="s">
        <v>1209</v>
      </c>
      <c r="AQ8" t="s">
        <v>1210</v>
      </c>
      <c r="AS8" t="b">
        <v>1</v>
      </c>
      <c r="AT8" t="s">
        <v>113</v>
      </c>
      <c r="AV8" t="s">
        <v>104</v>
      </c>
      <c r="AW8">
        <v>-1</v>
      </c>
      <c r="AX8">
        <v>-1</v>
      </c>
      <c r="AZ8">
        <v>13490</v>
      </c>
      <c r="BA8">
        <v>0</v>
      </c>
      <c r="BB8">
        <v>0</v>
      </c>
      <c r="BC8" t="s">
        <v>114</v>
      </c>
      <c r="BD8" t="s">
        <v>115</v>
      </c>
      <c r="BE8" t="s">
        <v>116</v>
      </c>
      <c r="BH8" t="b">
        <v>0</v>
      </c>
      <c r="BI8">
        <v>0</v>
      </c>
      <c r="BJ8">
        <v>10000</v>
      </c>
      <c r="BK8" t="b">
        <v>0</v>
      </c>
      <c r="BL8" t="b">
        <v>0</v>
      </c>
      <c r="BN8" t="b">
        <v>0</v>
      </c>
      <c r="BO8" t="s">
        <v>117</v>
      </c>
      <c r="BP8">
        <v>13</v>
      </c>
      <c r="BQ8" t="s">
        <v>115</v>
      </c>
      <c r="BR8" t="s">
        <v>118</v>
      </c>
      <c r="BT8" t="s">
        <v>1229</v>
      </c>
      <c r="BU8" t="s">
        <v>1230</v>
      </c>
      <c r="BV8" t="s">
        <v>1230</v>
      </c>
      <c r="BW8" t="s">
        <v>1230</v>
      </c>
      <c r="CH8" t="s">
        <v>1200</v>
      </c>
      <c r="CI8" t="s">
        <v>1201</v>
      </c>
      <c r="CJ8" t="s">
        <v>1246</v>
      </c>
      <c r="CK8" t="s">
        <v>487</v>
      </c>
      <c r="CO8" t="s">
        <v>1232</v>
      </c>
      <c r="CP8" t="s">
        <v>1233</v>
      </c>
      <c r="CQ8" t="s">
        <v>1234</v>
      </c>
      <c r="CR8" t="s">
        <v>1478</v>
      </c>
      <c r="CS8" t="s">
        <v>1331</v>
      </c>
      <c r="CT8" t="s">
        <v>1203</v>
      </c>
      <c r="CU8" t="s">
        <v>1204</v>
      </c>
    </row>
    <row r="9" spans="1:106">
      <c r="A9" t="s">
        <v>665</v>
      </c>
      <c r="B9" t="s">
        <v>304</v>
      </c>
      <c r="C9" t="b">
        <v>0</v>
      </c>
      <c r="D9" t="b">
        <v>0</v>
      </c>
      <c r="E9" t="s">
        <v>100</v>
      </c>
      <c r="G9" t="s">
        <v>102</v>
      </c>
      <c r="H9" t="s">
        <v>305</v>
      </c>
      <c r="I9" t="s">
        <v>104</v>
      </c>
      <c r="J9" t="b">
        <v>0</v>
      </c>
      <c r="N9">
        <v>0</v>
      </c>
      <c r="O9" s="41">
        <v>45722.380023148151</v>
      </c>
      <c r="P9" s="41">
        <v>45730.621168981481</v>
      </c>
      <c r="Q9">
        <v>4</v>
      </c>
      <c r="S9">
        <v>2048</v>
      </c>
      <c r="T9">
        <v>0</v>
      </c>
      <c r="U9">
        <v>0</v>
      </c>
      <c r="V9">
        <v>0</v>
      </c>
      <c r="W9">
        <v>0</v>
      </c>
      <c r="Z9" t="s">
        <v>106</v>
      </c>
      <c r="AM9">
        <v>1</v>
      </c>
      <c r="AN9">
        <v>4096</v>
      </c>
      <c r="AO9" t="s">
        <v>1208</v>
      </c>
      <c r="AP9" t="s">
        <v>1205</v>
      </c>
      <c r="AQ9" t="s">
        <v>1206</v>
      </c>
      <c r="AT9" t="s">
        <v>113</v>
      </c>
      <c r="AV9" t="s">
        <v>104</v>
      </c>
      <c r="AW9">
        <v>-1</v>
      </c>
      <c r="AX9">
        <v>-1</v>
      </c>
      <c r="AZ9">
        <v>3905</v>
      </c>
      <c r="BA9">
        <v>0</v>
      </c>
      <c r="BB9">
        <v>0</v>
      </c>
      <c r="BC9" t="s">
        <v>114</v>
      </c>
      <c r="BD9" t="s">
        <v>115</v>
      </c>
      <c r="BE9" t="s">
        <v>116</v>
      </c>
      <c r="BH9" t="b">
        <v>0</v>
      </c>
      <c r="BI9">
        <v>0</v>
      </c>
      <c r="BJ9">
        <v>10000</v>
      </c>
      <c r="BK9" t="b">
        <v>0</v>
      </c>
      <c r="BL9" t="b">
        <v>0</v>
      </c>
      <c r="BN9" t="b">
        <v>0</v>
      </c>
      <c r="BO9" t="s">
        <v>117</v>
      </c>
      <c r="BP9">
        <v>14</v>
      </c>
      <c r="BQ9" t="s">
        <v>115</v>
      </c>
      <c r="BR9" t="s">
        <v>118</v>
      </c>
      <c r="BT9" t="s">
        <v>1235</v>
      </c>
      <c r="BU9" t="s">
        <v>1236</v>
      </c>
      <c r="BV9" t="s">
        <v>1236</v>
      </c>
      <c r="BW9" t="s">
        <v>1236</v>
      </c>
      <c r="BX9" t="s">
        <v>671</v>
      </c>
      <c r="CH9" t="s">
        <v>1200</v>
      </c>
      <c r="CI9" t="s">
        <v>1201</v>
      </c>
      <c r="CJ9" t="s">
        <v>1231</v>
      </c>
      <c r="CK9" t="s">
        <v>674</v>
      </c>
      <c r="CO9" t="s">
        <v>1237</v>
      </c>
      <c r="CP9" t="s">
        <v>1238</v>
      </c>
      <c r="CQ9" t="s">
        <v>1239</v>
      </c>
      <c r="CR9" t="s">
        <v>1478</v>
      </c>
      <c r="CS9" t="s">
        <v>1331</v>
      </c>
      <c r="CT9" t="s">
        <v>1203</v>
      </c>
      <c r="CU9" t="s">
        <v>1204</v>
      </c>
    </row>
    <row r="10" spans="1:106" s="49" customFormat="1">
      <c r="A10" s="49" t="s">
        <v>1337</v>
      </c>
      <c r="B10" s="49" t="s">
        <v>99</v>
      </c>
      <c r="C10" s="49" t="b">
        <v>0</v>
      </c>
      <c r="D10" s="49" t="b">
        <v>0</v>
      </c>
      <c r="E10" s="49" t="s">
        <v>100</v>
      </c>
      <c r="F10" s="49" t="s">
        <v>751</v>
      </c>
      <c r="G10" s="49" t="s">
        <v>102</v>
      </c>
      <c r="H10" s="49" t="s">
        <v>103</v>
      </c>
      <c r="I10" s="49" t="s">
        <v>100</v>
      </c>
      <c r="J10" s="49" t="b">
        <v>0</v>
      </c>
      <c r="K10" s="50">
        <v>45621.465821759259</v>
      </c>
      <c r="N10" s="49">
        <v>0</v>
      </c>
      <c r="O10" s="50">
        <v>25568.791666666672</v>
      </c>
      <c r="P10" s="50">
        <v>45756.419861111113</v>
      </c>
      <c r="Q10" s="49">
        <v>4</v>
      </c>
      <c r="R10" s="49" t="s">
        <v>105</v>
      </c>
      <c r="S10" s="49">
        <v>20480</v>
      </c>
      <c r="T10" s="49">
        <v>204</v>
      </c>
      <c r="U10" s="49">
        <v>3</v>
      </c>
      <c r="V10" s="49">
        <v>8</v>
      </c>
      <c r="W10" s="49">
        <v>9158656</v>
      </c>
      <c r="Y10" s="49" t="s">
        <v>229</v>
      </c>
      <c r="Z10" s="49" t="s">
        <v>106</v>
      </c>
      <c r="AC10" s="49" t="b">
        <v>1</v>
      </c>
      <c r="AD10" s="49" t="s">
        <v>1240</v>
      </c>
      <c r="AE10" s="49" t="s">
        <v>1241</v>
      </c>
      <c r="AF10" s="49" t="s">
        <v>1242</v>
      </c>
      <c r="AG10" s="49" t="s">
        <v>1243</v>
      </c>
      <c r="AM10" s="49">
        <v>1</v>
      </c>
      <c r="AN10" s="49">
        <v>4096</v>
      </c>
      <c r="AO10" s="49" t="s">
        <v>1208</v>
      </c>
      <c r="AP10" s="49" t="s">
        <v>1209</v>
      </c>
      <c r="AQ10" s="49" t="s">
        <v>1210</v>
      </c>
      <c r="AS10" s="49" t="b">
        <v>1</v>
      </c>
      <c r="AT10" s="49" t="s">
        <v>113</v>
      </c>
      <c r="AV10" s="49" t="s">
        <v>104</v>
      </c>
      <c r="AW10" s="49">
        <v>-1</v>
      </c>
      <c r="AX10" s="49">
        <v>-1</v>
      </c>
      <c r="AZ10" s="49">
        <v>9179774</v>
      </c>
      <c r="BA10" s="49">
        <v>8773315</v>
      </c>
      <c r="BB10" s="49">
        <v>8752197</v>
      </c>
      <c r="BC10" s="49" t="s">
        <v>114</v>
      </c>
      <c r="BD10" s="49" t="s">
        <v>115</v>
      </c>
      <c r="BE10" s="49" t="s">
        <v>116</v>
      </c>
      <c r="BH10" s="49" t="b">
        <v>0</v>
      </c>
      <c r="BI10" s="49">
        <v>0</v>
      </c>
      <c r="BJ10" s="49">
        <v>10000</v>
      </c>
      <c r="BK10" s="49" t="b">
        <v>0</v>
      </c>
      <c r="BL10" s="49" t="b">
        <v>0</v>
      </c>
      <c r="BN10" s="49" t="b">
        <v>0</v>
      </c>
      <c r="BO10" s="49" t="s">
        <v>117</v>
      </c>
      <c r="BP10" s="49">
        <v>14</v>
      </c>
      <c r="BQ10" s="49" t="s">
        <v>115</v>
      </c>
      <c r="BR10" s="49" t="s">
        <v>118</v>
      </c>
      <c r="BT10" s="49" t="s">
        <v>1244</v>
      </c>
      <c r="BU10" s="49" t="s">
        <v>1245</v>
      </c>
      <c r="BV10" s="49" t="s">
        <v>1245</v>
      </c>
      <c r="BW10" s="49" t="s">
        <v>1245</v>
      </c>
      <c r="CH10" s="49" t="s">
        <v>1200</v>
      </c>
      <c r="CI10" s="49" t="s">
        <v>1201</v>
      </c>
      <c r="CJ10" s="49" t="s">
        <v>1202</v>
      </c>
      <c r="CK10" s="49" t="s">
        <v>674</v>
      </c>
      <c r="CL10" s="49" t="s">
        <v>568</v>
      </c>
      <c r="CM10" s="49" t="s">
        <v>126</v>
      </c>
      <c r="CO10" s="49" t="s">
        <v>1247</v>
      </c>
      <c r="CP10" s="49" t="s">
        <v>756</v>
      </c>
      <c r="CQ10" s="49" t="s">
        <v>757</v>
      </c>
      <c r="CR10" s="49" t="s">
        <v>1478</v>
      </c>
      <c r="CS10" s="49" t="s">
        <v>1331</v>
      </c>
      <c r="CT10" s="49" t="s">
        <v>1203</v>
      </c>
      <c r="CU10" s="49" t="s">
        <v>1204</v>
      </c>
    </row>
    <row r="11" spans="1:106">
      <c r="A11" t="s">
        <v>789</v>
      </c>
      <c r="B11" t="s">
        <v>304</v>
      </c>
      <c r="C11" t="b">
        <v>0</v>
      </c>
      <c r="D11" t="b">
        <v>0</v>
      </c>
      <c r="E11" t="s">
        <v>100</v>
      </c>
      <c r="G11" t="s">
        <v>102</v>
      </c>
      <c r="H11" t="s">
        <v>305</v>
      </c>
      <c r="I11" t="s">
        <v>104</v>
      </c>
      <c r="J11" t="b">
        <v>0</v>
      </c>
      <c r="N11">
        <v>0</v>
      </c>
      <c r="O11" s="41">
        <v>45754.666192129633</v>
      </c>
      <c r="P11" s="41">
        <v>45754.666192129633</v>
      </c>
      <c r="Q11">
        <v>2</v>
      </c>
      <c r="S11">
        <v>12288</v>
      </c>
      <c r="T11">
        <v>0</v>
      </c>
      <c r="U11">
        <v>0</v>
      </c>
      <c r="V11">
        <v>0</v>
      </c>
      <c r="W11">
        <v>0</v>
      </c>
      <c r="Z11" t="s">
        <v>106</v>
      </c>
      <c r="AB11" t="b">
        <v>1</v>
      </c>
      <c r="AM11">
        <v>1</v>
      </c>
      <c r="AN11">
        <v>4096</v>
      </c>
      <c r="AO11" t="s">
        <v>1828</v>
      </c>
      <c r="AP11" t="s">
        <v>1205</v>
      </c>
      <c r="AQ11" t="s">
        <v>1206</v>
      </c>
      <c r="AT11" t="s">
        <v>113</v>
      </c>
      <c r="AV11" t="s">
        <v>104</v>
      </c>
      <c r="AW11">
        <v>-1</v>
      </c>
      <c r="AX11">
        <v>-1</v>
      </c>
      <c r="AZ11">
        <v>14143</v>
      </c>
      <c r="BA11">
        <v>0</v>
      </c>
      <c r="BB11">
        <v>0</v>
      </c>
      <c r="BC11" t="s">
        <v>114</v>
      </c>
      <c r="BD11" t="s">
        <v>115</v>
      </c>
      <c r="BE11" t="s">
        <v>116</v>
      </c>
      <c r="BH11" t="b">
        <v>0</v>
      </c>
      <c r="BI11">
        <v>0</v>
      </c>
      <c r="BJ11">
        <v>10000</v>
      </c>
      <c r="BK11" t="b">
        <v>0</v>
      </c>
      <c r="BL11" t="b">
        <v>0</v>
      </c>
      <c r="BN11" t="b">
        <v>0</v>
      </c>
      <c r="BO11" t="s">
        <v>117</v>
      </c>
      <c r="BP11">
        <v>15</v>
      </c>
      <c r="BQ11" t="s">
        <v>115</v>
      </c>
      <c r="BR11" t="s">
        <v>118</v>
      </c>
      <c r="BT11" t="s">
        <v>1829</v>
      </c>
      <c r="BU11" t="s">
        <v>1830</v>
      </c>
      <c r="BV11" t="s">
        <v>1830</v>
      </c>
      <c r="BW11" t="s">
        <v>1830</v>
      </c>
      <c r="BX11" t="s">
        <v>801</v>
      </c>
      <c r="CH11" t="s">
        <v>1200</v>
      </c>
      <c r="CI11" t="s">
        <v>1201</v>
      </c>
      <c r="CJ11" t="s">
        <v>1822</v>
      </c>
      <c r="CK11" t="s">
        <v>627</v>
      </c>
      <c r="CO11" t="s">
        <v>1831</v>
      </c>
      <c r="CP11" t="s">
        <v>1832</v>
      </c>
      <c r="CQ11" t="s">
        <v>1833</v>
      </c>
      <c r="CR11" t="s">
        <v>1478</v>
      </c>
      <c r="CS11" t="s">
        <v>1331</v>
      </c>
      <c r="CT11" t="s">
        <v>1203</v>
      </c>
      <c r="CU11" t="s">
        <v>1204</v>
      </c>
    </row>
    <row r="12" spans="1:106">
      <c r="A12" t="s">
        <v>835</v>
      </c>
      <c r="B12" t="s">
        <v>304</v>
      </c>
      <c r="C12" t="b">
        <v>0</v>
      </c>
      <c r="D12" t="b">
        <v>0</v>
      </c>
      <c r="E12" t="s">
        <v>100</v>
      </c>
      <c r="F12" t="s">
        <v>836</v>
      </c>
      <c r="G12" t="s">
        <v>102</v>
      </c>
      <c r="H12" t="s">
        <v>305</v>
      </c>
      <c r="I12" t="s">
        <v>104</v>
      </c>
      <c r="J12" t="b">
        <v>0</v>
      </c>
      <c r="N12">
        <v>0</v>
      </c>
      <c r="O12" s="41">
        <v>45805.866516203707</v>
      </c>
      <c r="P12" s="41">
        <v>45805.866527777784</v>
      </c>
      <c r="Q12">
        <v>4</v>
      </c>
      <c r="S12">
        <v>8192</v>
      </c>
      <c r="T12">
        <v>0</v>
      </c>
      <c r="U12">
        <v>0</v>
      </c>
      <c r="V12">
        <v>0</v>
      </c>
      <c r="W12">
        <v>0</v>
      </c>
      <c r="Z12" t="s">
        <v>106</v>
      </c>
      <c r="AB12" t="b">
        <v>1</v>
      </c>
      <c r="AM12">
        <v>1</v>
      </c>
      <c r="AN12">
        <v>4096</v>
      </c>
      <c r="AO12" t="s">
        <v>1248</v>
      </c>
      <c r="AP12" t="s">
        <v>1209</v>
      </c>
      <c r="AQ12" t="s">
        <v>1210</v>
      </c>
      <c r="AT12" t="s">
        <v>113</v>
      </c>
      <c r="AV12" t="s">
        <v>104</v>
      </c>
      <c r="AW12">
        <v>-1</v>
      </c>
      <c r="AX12">
        <v>-1</v>
      </c>
      <c r="AZ12">
        <v>9394</v>
      </c>
      <c r="BA12">
        <v>0</v>
      </c>
      <c r="BB12">
        <v>0</v>
      </c>
      <c r="BC12" t="s">
        <v>114</v>
      </c>
      <c r="BD12" t="s">
        <v>115</v>
      </c>
      <c r="BE12" t="s">
        <v>116</v>
      </c>
      <c r="BH12" t="b">
        <v>0</v>
      </c>
      <c r="BI12">
        <v>0</v>
      </c>
      <c r="BJ12">
        <v>10000</v>
      </c>
      <c r="BK12" t="b">
        <v>0</v>
      </c>
      <c r="BL12" t="b">
        <v>0</v>
      </c>
      <c r="BN12" t="b">
        <v>0</v>
      </c>
      <c r="BO12" t="s">
        <v>117</v>
      </c>
      <c r="BP12">
        <v>13</v>
      </c>
      <c r="BQ12" t="s">
        <v>115</v>
      </c>
      <c r="BR12" t="s">
        <v>118</v>
      </c>
      <c r="BT12" t="s">
        <v>1834</v>
      </c>
      <c r="BU12" t="s">
        <v>1835</v>
      </c>
      <c r="BV12" t="s">
        <v>1835</v>
      </c>
      <c r="BW12" t="s">
        <v>1835</v>
      </c>
      <c r="CA12" t="s">
        <v>1836</v>
      </c>
      <c r="CH12" t="s">
        <v>1200</v>
      </c>
      <c r="CI12" t="s">
        <v>1201</v>
      </c>
      <c r="CJ12" t="s">
        <v>1202</v>
      </c>
      <c r="CK12" t="s">
        <v>487</v>
      </c>
      <c r="CL12" t="s">
        <v>487</v>
      </c>
      <c r="CO12" t="s">
        <v>1836</v>
      </c>
      <c r="CP12" t="s">
        <v>1837</v>
      </c>
      <c r="CQ12" t="s">
        <v>1838</v>
      </c>
      <c r="CR12" t="s">
        <v>1478</v>
      </c>
      <c r="CS12" t="s">
        <v>1331</v>
      </c>
      <c r="CT12" t="s">
        <v>1203</v>
      </c>
      <c r="CU12" t="s">
        <v>1204</v>
      </c>
    </row>
    <row r="13" spans="1:106">
      <c r="A13" t="s">
        <v>870</v>
      </c>
      <c r="B13" t="s">
        <v>304</v>
      </c>
      <c r="C13" t="b">
        <v>0</v>
      </c>
      <c r="D13" t="b">
        <v>0</v>
      </c>
      <c r="E13" t="s">
        <v>100</v>
      </c>
      <c r="F13" t="s">
        <v>871</v>
      </c>
      <c r="G13" t="s">
        <v>102</v>
      </c>
      <c r="H13" t="s">
        <v>305</v>
      </c>
      <c r="I13" t="s">
        <v>104</v>
      </c>
      <c r="J13" t="b">
        <v>0</v>
      </c>
      <c r="N13">
        <v>0</v>
      </c>
      <c r="O13" s="41">
        <v>45707.520115740743</v>
      </c>
      <c r="P13" s="41">
        <v>45730.621168981481</v>
      </c>
      <c r="Q13">
        <v>4</v>
      </c>
      <c r="S13">
        <v>16384</v>
      </c>
      <c r="T13">
        <v>0</v>
      </c>
      <c r="U13">
        <v>0</v>
      </c>
      <c r="V13">
        <v>0</v>
      </c>
      <c r="W13">
        <v>0</v>
      </c>
      <c r="Z13" t="s">
        <v>106</v>
      </c>
      <c r="AB13" t="b">
        <v>1</v>
      </c>
      <c r="AM13">
        <v>1</v>
      </c>
      <c r="AN13">
        <v>4096</v>
      </c>
      <c r="AO13" t="s">
        <v>1248</v>
      </c>
      <c r="AP13" t="s">
        <v>1205</v>
      </c>
      <c r="AQ13" t="s">
        <v>1206</v>
      </c>
      <c r="AT13" t="s">
        <v>113</v>
      </c>
      <c r="AV13" t="s">
        <v>104</v>
      </c>
      <c r="AW13">
        <v>-1</v>
      </c>
      <c r="AX13">
        <v>-1</v>
      </c>
      <c r="AZ13">
        <v>18114</v>
      </c>
      <c r="BA13">
        <v>0</v>
      </c>
      <c r="BB13">
        <v>0</v>
      </c>
      <c r="BC13" t="s">
        <v>114</v>
      </c>
      <c r="BD13" t="s">
        <v>115</v>
      </c>
      <c r="BE13" t="s">
        <v>116</v>
      </c>
      <c r="BH13" t="b">
        <v>0</v>
      </c>
      <c r="BI13">
        <v>0</v>
      </c>
      <c r="BJ13">
        <v>10000</v>
      </c>
      <c r="BK13" t="b">
        <v>0</v>
      </c>
      <c r="BL13" t="b">
        <v>0</v>
      </c>
      <c r="BN13" t="b">
        <v>0</v>
      </c>
      <c r="BO13" t="s">
        <v>117</v>
      </c>
      <c r="BP13">
        <v>19</v>
      </c>
      <c r="BQ13" t="s">
        <v>115</v>
      </c>
      <c r="BR13" t="s">
        <v>118</v>
      </c>
      <c r="BT13" t="s">
        <v>1249</v>
      </c>
      <c r="BU13" t="s">
        <v>1250</v>
      </c>
      <c r="BV13" t="s">
        <v>1250</v>
      </c>
      <c r="BW13" t="s">
        <v>1250</v>
      </c>
      <c r="BX13" t="s">
        <v>875</v>
      </c>
      <c r="CH13" t="s">
        <v>1200</v>
      </c>
      <c r="CI13" t="s">
        <v>1201</v>
      </c>
      <c r="CJ13" t="s">
        <v>1231</v>
      </c>
      <c r="CK13" t="s">
        <v>487</v>
      </c>
      <c r="CO13" t="s">
        <v>1251</v>
      </c>
      <c r="CP13" t="s">
        <v>1252</v>
      </c>
      <c r="CQ13" t="s">
        <v>1253</v>
      </c>
      <c r="CR13" t="s">
        <v>1478</v>
      </c>
      <c r="CS13" t="s">
        <v>1331</v>
      </c>
      <c r="CT13" t="s">
        <v>1203</v>
      </c>
      <c r="CU13" t="s">
        <v>1204</v>
      </c>
    </row>
    <row r="14" spans="1:106">
      <c r="A14" t="s">
        <v>900</v>
      </c>
      <c r="B14" t="s">
        <v>304</v>
      </c>
      <c r="C14" t="b">
        <v>0</v>
      </c>
      <c r="D14" t="b">
        <v>0</v>
      </c>
      <c r="E14" t="s">
        <v>100</v>
      </c>
      <c r="G14" t="s">
        <v>102</v>
      </c>
      <c r="H14" t="s">
        <v>305</v>
      </c>
      <c r="I14" t="s">
        <v>104</v>
      </c>
      <c r="J14" t="b">
        <v>0</v>
      </c>
      <c r="N14">
        <v>0</v>
      </c>
      <c r="O14" s="41">
        <v>45754.666192129633</v>
      </c>
      <c r="P14" s="41">
        <v>45769.048078703701</v>
      </c>
      <c r="Q14">
        <v>2</v>
      </c>
      <c r="S14">
        <v>8192</v>
      </c>
      <c r="T14">
        <v>0</v>
      </c>
      <c r="U14">
        <v>0</v>
      </c>
      <c r="V14">
        <v>0</v>
      </c>
      <c r="W14">
        <v>0</v>
      </c>
      <c r="Z14" t="s">
        <v>106</v>
      </c>
      <c r="AB14" t="b">
        <v>1</v>
      </c>
      <c r="AM14">
        <v>1</v>
      </c>
      <c r="AN14">
        <v>4096</v>
      </c>
      <c r="AO14" t="s">
        <v>1828</v>
      </c>
      <c r="AP14" t="s">
        <v>1209</v>
      </c>
      <c r="AQ14" t="s">
        <v>1210</v>
      </c>
      <c r="AT14" t="s">
        <v>113</v>
      </c>
      <c r="AV14" t="s">
        <v>104</v>
      </c>
      <c r="AW14">
        <v>-1</v>
      </c>
      <c r="AX14">
        <v>-1</v>
      </c>
      <c r="AZ14">
        <v>10047</v>
      </c>
      <c r="BA14">
        <v>0</v>
      </c>
      <c r="BB14">
        <v>0</v>
      </c>
      <c r="BC14" t="s">
        <v>114</v>
      </c>
      <c r="BD14" t="s">
        <v>115</v>
      </c>
      <c r="BE14" t="s">
        <v>116</v>
      </c>
      <c r="BH14" t="b">
        <v>0</v>
      </c>
      <c r="BI14">
        <v>0</v>
      </c>
      <c r="BJ14">
        <v>10000</v>
      </c>
      <c r="BK14" t="b">
        <v>0</v>
      </c>
      <c r="BL14" t="b">
        <v>0</v>
      </c>
      <c r="BN14" t="b">
        <v>0</v>
      </c>
      <c r="BO14" t="s">
        <v>117</v>
      </c>
      <c r="BP14">
        <v>15</v>
      </c>
      <c r="BQ14" t="s">
        <v>115</v>
      </c>
      <c r="BR14" t="s">
        <v>118</v>
      </c>
      <c r="BT14" t="s">
        <v>1839</v>
      </c>
      <c r="BU14" t="s">
        <v>1840</v>
      </c>
      <c r="BV14" t="s">
        <v>1840</v>
      </c>
      <c r="BW14" t="s">
        <v>1840</v>
      </c>
      <c r="BX14" t="s">
        <v>905</v>
      </c>
      <c r="CH14" t="s">
        <v>1200</v>
      </c>
      <c r="CI14" t="s">
        <v>1201</v>
      </c>
      <c r="CJ14" t="s">
        <v>1202</v>
      </c>
      <c r="CK14" t="s">
        <v>627</v>
      </c>
      <c r="CO14" t="s">
        <v>1841</v>
      </c>
      <c r="CP14" t="s">
        <v>1842</v>
      </c>
      <c r="CQ14" t="s">
        <v>1843</v>
      </c>
      <c r="CR14" t="s">
        <v>1478</v>
      </c>
      <c r="CS14" t="s">
        <v>1331</v>
      </c>
      <c r="CT14" t="s">
        <v>1203</v>
      </c>
      <c r="CU14" t="s">
        <v>1204</v>
      </c>
    </row>
    <row r="15" spans="1:106">
      <c r="A15" t="s">
        <v>970</v>
      </c>
      <c r="B15" t="s">
        <v>304</v>
      </c>
      <c r="C15" t="b">
        <v>0</v>
      </c>
      <c r="D15" t="b">
        <v>0</v>
      </c>
      <c r="E15" t="s">
        <v>100</v>
      </c>
      <c r="F15" t="s">
        <v>971</v>
      </c>
      <c r="G15" t="s">
        <v>102</v>
      </c>
      <c r="H15" t="s">
        <v>305</v>
      </c>
      <c r="I15" t="s">
        <v>104</v>
      </c>
      <c r="J15" t="b">
        <v>0</v>
      </c>
      <c r="N15">
        <v>0</v>
      </c>
      <c r="O15" s="41">
        <v>45857.883773148147</v>
      </c>
      <c r="P15" s="41">
        <v>45857.883784722217</v>
      </c>
      <c r="Q15">
        <v>4</v>
      </c>
      <c r="S15">
        <v>12288</v>
      </c>
      <c r="T15">
        <v>0</v>
      </c>
      <c r="U15">
        <v>0</v>
      </c>
      <c r="V15">
        <v>0</v>
      </c>
      <c r="W15">
        <v>0</v>
      </c>
      <c r="Z15" t="s">
        <v>106</v>
      </c>
      <c r="AB15" t="b">
        <v>1</v>
      </c>
      <c r="AM15">
        <v>1</v>
      </c>
      <c r="AN15">
        <v>4096</v>
      </c>
      <c r="AO15" t="s">
        <v>1208</v>
      </c>
      <c r="AP15" t="s">
        <v>1205</v>
      </c>
      <c r="AQ15" t="s">
        <v>1206</v>
      </c>
      <c r="AT15" t="s">
        <v>113</v>
      </c>
      <c r="AV15" t="s">
        <v>104</v>
      </c>
      <c r="AW15">
        <v>-1</v>
      </c>
      <c r="AX15">
        <v>-1</v>
      </c>
      <c r="AZ15">
        <v>14018</v>
      </c>
      <c r="BA15">
        <v>0</v>
      </c>
      <c r="BB15">
        <v>0</v>
      </c>
      <c r="BC15" t="s">
        <v>114</v>
      </c>
      <c r="BD15" t="s">
        <v>115</v>
      </c>
      <c r="BE15" t="s">
        <v>116</v>
      </c>
      <c r="BH15" t="b">
        <v>0</v>
      </c>
      <c r="BI15">
        <v>0</v>
      </c>
      <c r="BJ15">
        <v>10000</v>
      </c>
      <c r="BK15" t="b">
        <v>0</v>
      </c>
      <c r="BL15" t="b">
        <v>0</v>
      </c>
      <c r="BN15" t="b">
        <v>0</v>
      </c>
      <c r="BO15" t="s">
        <v>117</v>
      </c>
      <c r="BP15">
        <v>19</v>
      </c>
      <c r="BQ15" t="s">
        <v>115</v>
      </c>
      <c r="BR15" t="s">
        <v>118</v>
      </c>
      <c r="BT15" t="s">
        <v>1844</v>
      </c>
      <c r="BU15" t="s">
        <v>1845</v>
      </c>
      <c r="BV15" t="s">
        <v>1845</v>
      </c>
      <c r="BW15" t="s">
        <v>1845</v>
      </c>
      <c r="CA15" t="s">
        <v>1254</v>
      </c>
      <c r="CH15" t="s">
        <v>1200</v>
      </c>
      <c r="CI15" t="s">
        <v>1201</v>
      </c>
      <c r="CJ15" t="s">
        <v>1202</v>
      </c>
      <c r="CK15" t="s">
        <v>160</v>
      </c>
      <c r="CL15" t="s">
        <v>160</v>
      </c>
      <c r="CO15" t="s">
        <v>1254</v>
      </c>
      <c r="CP15" t="s">
        <v>1846</v>
      </c>
      <c r="CQ15" t="s">
        <v>1847</v>
      </c>
      <c r="CR15" t="s">
        <v>1478</v>
      </c>
      <c r="CS15" t="s">
        <v>1331</v>
      </c>
      <c r="CT15" t="s">
        <v>1203</v>
      </c>
      <c r="CU15" t="s">
        <v>1204</v>
      </c>
    </row>
    <row r="16" spans="1:106">
      <c r="A16" t="s">
        <v>996</v>
      </c>
      <c r="B16" t="s">
        <v>304</v>
      </c>
      <c r="C16" t="b">
        <v>0</v>
      </c>
      <c r="D16" t="b">
        <v>0</v>
      </c>
      <c r="E16" t="s">
        <v>100</v>
      </c>
      <c r="F16" t="s">
        <v>997</v>
      </c>
      <c r="G16" t="s">
        <v>102</v>
      </c>
      <c r="H16" t="s">
        <v>305</v>
      </c>
      <c r="I16" t="s">
        <v>104</v>
      </c>
      <c r="J16" t="b">
        <v>0</v>
      </c>
      <c r="N16">
        <v>0</v>
      </c>
      <c r="O16" s="41">
        <v>45857.884872685187</v>
      </c>
      <c r="P16" s="41">
        <v>45857.884884259263</v>
      </c>
      <c r="Q16">
        <v>4</v>
      </c>
      <c r="S16">
        <v>16384</v>
      </c>
      <c r="T16">
        <v>0</v>
      </c>
      <c r="U16">
        <v>0</v>
      </c>
      <c r="V16">
        <v>0</v>
      </c>
      <c r="W16">
        <v>0</v>
      </c>
      <c r="Z16" t="s">
        <v>106</v>
      </c>
      <c r="AB16" t="b">
        <v>1</v>
      </c>
      <c r="AM16">
        <v>1</v>
      </c>
      <c r="AN16">
        <v>4096</v>
      </c>
      <c r="AO16" t="s">
        <v>1248</v>
      </c>
      <c r="AP16" t="s">
        <v>1209</v>
      </c>
      <c r="AQ16" t="s">
        <v>1210</v>
      </c>
      <c r="AT16" t="s">
        <v>113</v>
      </c>
      <c r="AV16" t="s">
        <v>104</v>
      </c>
      <c r="AW16">
        <v>-1</v>
      </c>
      <c r="AX16">
        <v>-1</v>
      </c>
      <c r="AZ16">
        <v>18114</v>
      </c>
      <c r="BA16">
        <v>0</v>
      </c>
      <c r="BB16">
        <v>0</v>
      </c>
      <c r="BC16" t="s">
        <v>114</v>
      </c>
      <c r="BD16" t="s">
        <v>115</v>
      </c>
      <c r="BE16" t="s">
        <v>116</v>
      </c>
      <c r="BH16" t="b">
        <v>0</v>
      </c>
      <c r="BI16">
        <v>0</v>
      </c>
      <c r="BJ16">
        <v>10000</v>
      </c>
      <c r="BK16" t="b">
        <v>0</v>
      </c>
      <c r="BL16" t="b">
        <v>0</v>
      </c>
      <c r="BN16" t="b">
        <v>0</v>
      </c>
      <c r="BO16" t="s">
        <v>117</v>
      </c>
      <c r="BP16">
        <v>19</v>
      </c>
      <c r="BQ16" t="s">
        <v>115</v>
      </c>
      <c r="BR16" t="s">
        <v>118</v>
      </c>
      <c r="BT16" t="s">
        <v>1848</v>
      </c>
      <c r="BU16" t="s">
        <v>1849</v>
      </c>
      <c r="BV16" t="s">
        <v>1849</v>
      </c>
      <c r="BW16" t="s">
        <v>1849</v>
      </c>
      <c r="BX16" t="s">
        <v>179</v>
      </c>
      <c r="CA16" t="s">
        <v>1255</v>
      </c>
      <c r="CH16" t="s">
        <v>1200</v>
      </c>
      <c r="CI16" t="s">
        <v>1201</v>
      </c>
      <c r="CJ16" t="s">
        <v>1202</v>
      </c>
      <c r="CK16" t="s">
        <v>160</v>
      </c>
      <c r="CL16" t="s">
        <v>160</v>
      </c>
      <c r="CO16" t="s">
        <v>1255</v>
      </c>
      <c r="CP16" t="s">
        <v>1850</v>
      </c>
      <c r="CQ16" t="s">
        <v>1851</v>
      </c>
      <c r="CR16" t="s">
        <v>1478</v>
      </c>
      <c r="CS16" t="s">
        <v>1331</v>
      </c>
      <c r="CT16" t="s">
        <v>1203</v>
      </c>
      <c r="CU16" t="s">
        <v>1204</v>
      </c>
    </row>
    <row r="17" spans="1:102">
      <c r="A17" t="s">
        <v>1004</v>
      </c>
      <c r="B17" t="s">
        <v>304</v>
      </c>
      <c r="C17" t="b">
        <v>0</v>
      </c>
      <c r="D17" t="b">
        <v>0</v>
      </c>
      <c r="E17" t="s">
        <v>100</v>
      </c>
      <c r="F17" t="s">
        <v>1005</v>
      </c>
      <c r="G17" t="s">
        <v>102</v>
      </c>
      <c r="H17" t="s">
        <v>305</v>
      </c>
      <c r="I17" t="s">
        <v>104</v>
      </c>
      <c r="J17" t="b">
        <v>0</v>
      </c>
      <c r="N17">
        <v>0</v>
      </c>
      <c r="O17" s="41">
        <v>45356.48196759259</v>
      </c>
      <c r="P17" s="41">
        <v>45912.461469907408</v>
      </c>
      <c r="Q17">
        <v>8</v>
      </c>
      <c r="S17">
        <v>30720</v>
      </c>
      <c r="T17">
        <v>0</v>
      </c>
      <c r="U17">
        <v>0</v>
      </c>
      <c r="V17">
        <v>0</v>
      </c>
      <c r="W17">
        <v>0</v>
      </c>
      <c r="Z17" t="s">
        <v>106</v>
      </c>
      <c r="AM17">
        <v>1</v>
      </c>
      <c r="AN17">
        <v>4096</v>
      </c>
      <c r="AO17" t="s">
        <v>1248</v>
      </c>
      <c r="AP17" t="s">
        <v>1209</v>
      </c>
      <c r="AQ17" t="s">
        <v>1210</v>
      </c>
      <c r="AS17" t="b">
        <v>1</v>
      </c>
      <c r="AT17" t="s">
        <v>113</v>
      </c>
      <c r="AV17" t="s">
        <v>104</v>
      </c>
      <c r="AW17">
        <v>-1</v>
      </c>
      <c r="AX17">
        <v>-1</v>
      </c>
      <c r="AZ17">
        <v>32454</v>
      </c>
      <c r="BA17">
        <v>0</v>
      </c>
      <c r="BB17">
        <v>0</v>
      </c>
      <c r="BC17" t="s">
        <v>114</v>
      </c>
      <c r="BD17" t="s">
        <v>115</v>
      </c>
      <c r="BE17" t="s">
        <v>116</v>
      </c>
      <c r="BH17" t="b">
        <v>0</v>
      </c>
      <c r="BI17">
        <v>0</v>
      </c>
      <c r="BJ17">
        <v>10000</v>
      </c>
      <c r="BK17" t="b">
        <v>0</v>
      </c>
      <c r="BL17" t="b">
        <v>0</v>
      </c>
      <c r="BN17" t="b">
        <v>0</v>
      </c>
      <c r="BO17" t="s">
        <v>117</v>
      </c>
      <c r="BP17">
        <v>19</v>
      </c>
      <c r="BQ17" t="s">
        <v>115</v>
      </c>
      <c r="BR17" t="s">
        <v>118</v>
      </c>
      <c r="BT17" t="s">
        <v>1852</v>
      </c>
      <c r="BU17" t="s">
        <v>1853</v>
      </c>
      <c r="BV17" t="s">
        <v>1853</v>
      </c>
      <c r="BW17" t="s">
        <v>1853</v>
      </c>
      <c r="CH17" t="s">
        <v>1200</v>
      </c>
      <c r="CI17" t="s">
        <v>1201</v>
      </c>
      <c r="CJ17" t="s">
        <v>1211</v>
      </c>
      <c r="CK17" t="s">
        <v>320</v>
      </c>
      <c r="CO17" t="s">
        <v>1256</v>
      </c>
      <c r="CP17" t="s">
        <v>1257</v>
      </c>
      <c r="CQ17" t="s">
        <v>1258</v>
      </c>
      <c r="CR17" t="s">
        <v>1478</v>
      </c>
      <c r="CS17" t="s">
        <v>1331</v>
      </c>
      <c r="CT17" t="s">
        <v>1203</v>
      </c>
      <c r="CU17" t="s">
        <v>1204</v>
      </c>
    </row>
    <row r="18" spans="1:102">
      <c r="A18" t="s">
        <v>1011</v>
      </c>
      <c r="B18" t="s">
        <v>304</v>
      </c>
      <c r="C18" t="b">
        <v>0</v>
      </c>
      <c r="D18" t="b">
        <v>0</v>
      </c>
      <c r="E18" t="s">
        <v>100</v>
      </c>
      <c r="F18" t="s">
        <v>1012</v>
      </c>
      <c r="G18" t="s">
        <v>102</v>
      </c>
      <c r="H18" t="s">
        <v>305</v>
      </c>
      <c r="I18" t="s">
        <v>104</v>
      </c>
      <c r="J18" t="b">
        <v>0</v>
      </c>
      <c r="N18">
        <v>0</v>
      </c>
      <c r="O18" s="41">
        <v>45857.839155092603</v>
      </c>
      <c r="P18" s="41">
        <v>45912.461504629631</v>
      </c>
      <c r="Q18">
        <v>4</v>
      </c>
      <c r="S18">
        <v>12288</v>
      </c>
      <c r="T18">
        <v>0</v>
      </c>
      <c r="U18">
        <v>0</v>
      </c>
      <c r="V18">
        <v>0</v>
      </c>
      <c r="W18">
        <v>0</v>
      </c>
      <c r="Z18" t="s">
        <v>106</v>
      </c>
      <c r="AB18" t="b">
        <v>1</v>
      </c>
      <c r="AM18">
        <v>1</v>
      </c>
      <c r="AN18">
        <v>4096</v>
      </c>
      <c r="AO18" t="s">
        <v>1248</v>
      </c>
      <c r="AP18" t="s">
        <v>1209</v>
      </c>
      <c r="AQ18" t="s">
        <v>1210</v>
      </c>
      <c r="AT18" t="s">
        <v>113</v>
      </c>
      <c r="AV18" t="s">
        <v>104</v>
      </c>
      <c r="AW18">
        <v>-1</v>
      </c>
      <c r="AX18">
        <v>-1</v>
      </c>
      <c r="AZ18">
        <v>14018</v>
      </c>
      <c r="BA18">
        <v>0</v>
      </c>
      <c r="BB18">
        <v>0</v>
      </c>
      <c r="BC18" t="s">
        <v>114</v>
      </c>
      <c r="BD18" t="s">
        <v>115</v>
      </c>
      <c r="BE18" t="s">
        <v>116</v>
      </c>
      <c r="BH18" t="b">
        <v>0</v>
      </c>
      <c r="BI18">
        <v>0</v>
      </c>
      <c r="BJ18">
        <v>10000</v>
      </c>
      <c r="BK18" t="b">
        <v>0</v>
      </c>
      <c r="BL18" t="b">
        <v>0</v>
      </c>
      <c r="BN18" t="b">
        <v>0</v>
      </c>
      <c r="BO18" t="s">
        <v>117</v>
      </c>
      <c r="BP18">
        <v>19</v>
      </c>
      <c r="BQ18" t="s">
        <v>115</v>
      </c>
      <c r="BR18" t="s">
        <v>118</v>
      </c>
      <c r="BT18" t="s">
        <v>1854</v>
      </c>
      <c r="BU18" t="s">
        <v>1855</v>
      </c>
      <c r="BV18" t="s">
        <v>1855</v>
      </c>
      <c r="BW18" t="s">
        <v>1855</v>
      </c>
      <c r="BX18" t="s">
        <v>179</v>
      </c>
      <c r="CA18" t="s">
        <v>1856</v>
      </c>
      <c r="CH18" t="s">
        <v>1200</v>
      </c>
      <c r="CI18" t="s">
        <v>1201</v>
      </c>
      <c r="CJ18" t="s">
        <v>1822</v>
      </c>
      <c r="CK18" t="s">
        <v>160</v>
      </c>
      <c r="CL18" t="s">
        <v>160</v>
      </c>
      <c r="CO18" t="s">
        <v>1856</v>
      </c>
      <c r="CP18" t="s">
        <v>1857</v>
      </c>
      <c r="CQ18" t="s">
        <v>1858</v>
      </c>
      <c r="CR18" t="s">
        <v>1478</v>
      </c>
      <c r="CS18" t="s">
        <v>1331</v>
      </c>
      <c r="CT18" t="s">
        <v>1203</v>
      </c>
      <c r="CU18" t="s">
        <v>1204</v>
      </c>
    </row>
    <row r="19" spans="1:102" s="1" customFormat="1" ht="11.2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3"/>
      <c r="N19" s="2"/>
      <c r="O19" s="3"/>
      <c r="P19" s="3"/>
      <c r="Q19" s="4"/>
      <c r="R19" s="2"/>
      <c r="S19" s="4"/>
      <c r="T19" s="4"/>
      <c r="U19" s="4"/>
      <c r="V19" s="4"/>
      <c r="W19" s="4"/>
      <c r="X19" s="2"/>
      <c r="Y19" s="4"/>
      <c r="Z19" s="2"/>
      <c r="AA19" s="4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4"/>
      <c r="AN19" s="4"/>
      <c r="AO19" s="2"/>
      <c r="AP19" s="2"/>
      <c r="AQ19" s="2"/>
      <c r="AR19" s="2"/>
      <c r="AS19" s="2"/>
      <c r="AT19" s="2"/>
      <c r="AU19" s="4"/>
      <c r="AV19" s="2"/>
      <c r="AW19" s="4"/>
      <c r="AX19" s="4"/>
      <c r="AY19" s="2"/>
      <c r="AZ19" s="4"/>
      <c r="BA19" s="4"/>
      <c r="BB19" s="4"/>
      <c r="BC19" s="2"/>
      <c r="BD19" s="2"/>
      <c r="BE19" s="2"/>
      <c r="BF19" s="2"/>
      <c r="BG19" s="2"/>
      <c r="BH19" s="2"/>
      <c r="BI19" s="4"/>
      <c r="BJ19" s="4"/>
      <c r="BK19" s="2"/>
      <c r="BL19" s="2"/>
      <c r="BM19" s="2"/>
      <c r="BN19" s="2"/>
      <c r="BO19" s="2"/>
      <c r="BP19" s="4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2" s="1" customFormat="1" ht="11.2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3"/>
      <c r="N20" s="2"/>
      <c r="O20" s="3"/>
      <c r="P20" s="3"/>
      <c r="Q20" s="4"/>
      <c r="R20" s="2"/>
      <c r="S20" s="4"/>
      <c r="T20" s="4"/>
      <c r="U20" s="4"/>
      <c r="V20" s="4"/>
      <c r="W20" s="4"/>
      <c r="X20" s="2"/>
      <c r="Y20" s="4"/>
      <c r="Z20" s="2"/>
      <c r="AA20" s="4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4"/>
      <c r="AN20" s="4"/>
      <c r="AO20" s="2"/>
      <c r="AP20" s="2"/>
      <c r="AQ20" s="2"/>
      <c r="AR20" s="2"/>
      <c r="AS20" s="2"/>
      <c r="AT20" s="2"/>
      <c r="AU20" s="4"/>
      <c r="AV20" s="2"/>
      <c r="AW20" s="4"/>
      <c r="AX20" s="4"/>
      <c r="AY20" s="2"/>
      <c r="AZ20" s="4"/>
      <c r="BA20" s="4"/>
      <c r="BB20" s="4"/>
      <c r="BC20" s="2"/>
      <c r="BD20" s="2"/>
      <c r="BE20" s="2"/>
      <c r="BF20" s="2"/>
      <c r="BG20" s="2"/>
      <c r="BH20" s="2"/>
      <c r="BI20" s="4"/>
      <c r="BJ20" s="4"/>
      <c r="BK20" s="2"/>
      <c r="BL20" s="2"/>
      <c r="BM20" s="2"/>
      <c r="BN20" s="2"/>
      <c r="BO20" s="2"/>
      <c r="BP20" s="4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2" s="1" customFormat="1" ht="11.2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3"/>
      <c r="N21" s="2"/>
      <c r="O21" s="3"/>
      <c r="P21" s="3"/>
      <c r="Q21" s="4"/>
      <c r="R21" s="2"/>
      <c r="S21" s="4"/>
      <c r="T21" s="4"/>
      <c r="U21" s="4"/>
      <c r="V21" s="4"/>
      <c r="W21" s="4"/>
      <c r="X21" s="2"/>
      <c r="Y21" s="4"/>
      <c r="Z21" s="2"/>
      <c r="AA21" s="4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4"/>
      <c r="AN21" s="4"/>
      <c r="AO21" s="2"/>
      <c r="AP21" s="2"/>
      <c r="AQ21" s="2"/>
      <c r="AR21" s="2"/>
      <c r="AS21" s="2"/>
      <c r="AT21" s="2"/>
      <c r="AU21" s="4"/>
      <c r="AV21" s="2"/>
      <c r="AW21" s="4"/>
      <c r="AX21" s="4"/>
      <c r="AY21" s="2"/>
      <c r="AZ21" s="4"/>
      <c r="BA21" s="4"/>
      <c r="BB21" s="4"/>
      <c r="BC21" s="2"/>
      <c r="BD21" s="2"/>
      <c r="BE21" s="2"/>
      <c r="BF21" s="2"/>
      <c r="BG21" s="2"/>
      <c r="BH21" s="2"/>
      <c r="BI21" s="4"/>
      <c r="BJ21" s="4"/>
      <c r="BK21" s="2"/>
      <c r="BL21" s="2"/>
      <c r="BM21" s="2"/>
      <c r="BN21" s="2"/>
      <c r="BO21" s="2"/>
      <c r="BP21" s="4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2">
      <c r="Q22" s="7">
        <f>SUM(Q2:Q21)</f>
        <v>68</v>
      </c>
      <c r="R22" s="5"/>
      <c r="S22" s="7">
        <f>SUM(S2:S21)</f>
        <v>192512</v>
      </c>
      <c r="W22" s="7">
        <f>SUM(W2:W17)</f>
        <v>9158656</v>
      </c>
    </row>
    <row r="25" spans="1:102" s="54" customFormat="1" ht="11.25">
      <c r="A25" s="51" t="s">
        <v>0</v>
      </c>
      <c r="B25" s="51" t="s">
        <v>1</v>
      </c>
      <c r="C25" s="51" t="s">
        <v>2</v>
      </c>
      <c r="D25" s="51" t="s">
        <v>3</v>
      </c>
      <c r="E25" s="51" t="s">
        <v>4</v>
      </c>
      <c r="F25" s="51" t="s">
        <v>5</v>
      </c>
      <c r="G25" s="51" t="s">
        <v>6</v>
      </c>
      <c r="H25" s="51" t="s">
        <v>7</v>
      </c>
      <c r="I25" s="51" t="s">
        <v>8</v>
      </c>
      <c r="J25" s="51" t="s">
        <v>9</v>
      </c>
      <c r="K25" s="52" t="s">
        <v>10</v>
      </c>
      <c r="L25" s="51" t="s">
        <v>11</v>
      </c>
      <c r="M25" s="52" t="s">
        <v>12</v>
      </c>
      <c r="N25" s="51" t="s">
        <v>13</v>
      </c>
      <c r="O25" s="52" t="s">
        <v>14</v>
      </c>
      <c r="P25" s="52" t="s">
        <v>15</v>
      </c>
      <c r="Q25" s="53" t="s">
        <v>16</v>
      </c>
      <c r="R25" s="51" t="s">
        <v>17</v>
      </c>
      <c r="S25" s="53" t="s">
        <v>18</v>
      </c>
      <c r="T25" s="53" t="s">
        <v>19</v>
      </c>
      <c r="U25" s="53" t="s">
        <v>20</v>
      </c>
      <c r="V25" s="53" t="s">
        <v>21</v>
      </c>
      <c r="W25" s="53" t="s">
        <v>22</v>
      </c>
      <c r="X25" s="51" t="s">
        <v>23</v>
      </c>
      <c r="Y25" s="53" t="s">
        <v>24</v>
      </c>
      <c r="Z25" s="51" t="s">
        <v>25</v>
      </c>
      <c r="AA25" s="53" t="s">
        <v>26</v>
      </c>
      <c r="AB25" s="51" t="s">
        <v>27</v>
      </c>
      <c r="AC25" s="51" t="s">
        <v>28</v>
      </c>
      <c r="AD25" s="51" t="s">
        <v>29</v>
      </c>
      <c r="AE25" s="51" t="s">
        <v>30</v>
      </c>
      <c r="AF25" s="51" t="s">
        <v>31</v>
      </c>
      <c r="AG25" s="51" t="s">
        <v>32</v>
      </c>
      <c r="AH25" s="51" t="s">
        <v>33</v>
      </c>
      <c r="AI25" s="51" t="s">
        <v>34</v>
      </c>
      <c r="AJ25" s="51" t="s">
        <v>35</v>
      </c>
      <c r="AK25" s="51" t="s">
        <v>36</v>
      </c>
      <c r="AL25" s="51" t="s">
        <v>37</v>
      </c>
      <c r="AM25" s="53" t="s">
        <v>38</v>
      </c>
      <c r="AN25" s="53" t="s">
        <v>39</v>
      </c>
      <c r="AO25" s="51" t="s">
        <v>40</v>
      </c>
      <c r="AP25" s="51" t="s">
        <v>41</v>
      </c>
      <c r="AQ25" s="51" t="s">
        <v>42</v>
      </c>
      <c r="AR25" s="51" t="s">
        <v>43</v>
      </c>
      <c r="AS25" s="51" t="s">
        <v>44</v>
      </c>
      <c r="AT25" s="51" t="s">
        <v>45</v>
      </c>
      <c r="AU25" s="53" t="s">
        <v>46</v>
      </c>
      <c r="AV25" s="51" t="s">
        <v>47</v>
      </c>
      <c r="AW25" s="53" t="s">
        <v>48</v>
      </c>
      <c r="AX25" s="53" t="s">
        <v>49</v>
      </c>
      <c r="AY25" s="51" t="s">
        <v>50</v>
      </c>
      <c r="AZ25" s="53" t="s">
        <v>51</v>
      </c>
      <c r="BA25" s="53" t="s">
        <v>52</v>
      </c>
      <c r="BB25" s="53" t="s">
        <v>53</v>
      </c>
      <c r="BC25" s="51" t="s">
        <v>54</v>
      </c>
      <c r="BD25" s="51" t="s">
        <v>55</v>
      </c>
      <c r="BE25" s="51" t="s">
        <v>56</v>
      </c>
      <c r="BF25" s="51" t="s">
        <v>57</v>
      </c>
      <c r="BG25" s="51" t="s">
        <v>58</v>
      </c>
      <c r="BH25" s="51" t="s">
        <v>59</v>
      </c>
      <c r="BI25" s="53" t="s">
        <v>60</v>
      </c>
      <c r="BJ25" s="53" t="s">
        <v>61</v>
      </c>
      <c r="BK25" s="51" t="s">
        <v>62</v>
      </c>
      <c r="BL25" s="51" t="s">
        <v>63</v>
      </c>
      <c r="BM25" s="51" t="s">
        <v>64</v>
      </c>
      <c r="BN25" s="51" t="s">
        <v>65</v>
      </c>
      <c r="BO25" s="51" t="s">
        <v>66</v>
      </c>
      <c r="BP25" s="53" t="s">
        <v>67</v>
      </c>
      <c r="BQ25" s="51" t="s">
        <v>68</v>
      </c>
      <c r="BR25" s="51" t="s">
        <v>69</v>
      </c>
      <c r="BS25" s="51" t="s">
        <v>70</v>
      </c>
      <c r="BT25" s="51" t="s">
        <v>71</v>
      </c>
      <c r="BU25" s="51" t="s">
        <v>72</v>
      </c>
      <c r="BV25" s="51" t="s">
        <v>73</v>
      </c>
      <c r="BW25" s="51" t="s">
        <v>74</v>
      </c>
      <c r="BX25" s="51" t="s">
        <v>75</v>
      </c>
      <c r="BY25" s="51" t="s">
        <v>76</v>
      </c>
      <c r="BZ25" s="51" t="s">
        <v>77</v>
      </c>
      <c r="CA25" s="51" t="s">
        <v>78</v>
      </c>
      <c r="CB25" s="51" t="s">
        <v>79</v>
      </c>
      <c r="CC25" s="51" t="s">
        <v>80</v>
      </c>
      <c r="CD25" s="51" t="s">
        <v>81</v>
      </c>
      <c r="CE25" s="51" t="s">
        <v>82</v>
      </c>
      <c r="CF25" s="51" t="s">
        <v>1372</v>
      </c>
      <c r="CG25" s="51" t="s">
        <v>83</v>
      </c>
      <c r="CH25" s="51" t="s">
        <v>84</v>
      </c>
      <c r="CI25" s="51" t="s">
        <v>85</v>
      </c>
      <c r="CJ25" s="51" t="s">
        <v>86</v>
      </c>
      <c r="CK25" s="51" t="s">
        <v>87</v>
      </c>
      <c r="CL25" s="51" t="s">
        <v>88</v>
      </c>
      <c r="CM25" s="51" t="s">
        <v>89</v>
      </c>
      <c r="CN25" s="51" t="s">
        <v>90</v>
      </c>
      <c r="CO25" s="51" t="s">
        <v>91</v>
      </c>
      <c r="CP25" s="51" t="s">
        <v>92</v>
      </c>
      <c r="CQ25" s="51" t="s">
        <v>93</v>
      </c>
      <c r="CR25" s="51" t="s">
        <v>94</v>
      </c>
      <c r="CS25" s="51" t="s">
        <v>95</v>
      </c>
      <c r="CT25" s="51" t="s">
        <v>96</v>
      </c>
      <c r="CU25" s="51" t="s">
        <v>97</v>
      </c>
      <c r="CV25" s="54" t="s">
        <v>1151</v>
      </c>
      <c r="CW25" s="54" t="s">
        <v>1198</v>
      </c>
      <c r="CX25" s="54" t="s">
        <v>1199</v>
      </c>
    </row>
    <row r="26" spans="1:102" s="1" customFormat="1" ht="11.25">
      <c r="A26" s="28" t="s">
        <v>193</v>
      </c>
      <c r="B26" s="2" t="s">
        <v>99</v>
      </c>
      <c r="C26" s="2" t="b">
        <v>0</v>
      </c>
      <c r="D26" s="2" t="b">
        <v>0</v>
      </c>
      <c r="E26" s="2" t="s">
        <v>100</v>
      </c>
      <c r="F26" s="2" t="s">
        <v>194</v>
      </c>
      <c r="G26" s="2" t="s">
        <v>102</v>
      </c>
      <c r="H26" s="2" t="s">
        <v>103</v>
      </c>
      <c r="I26" s="2" t="s">
        <v>100</v>
      </c>
      <c r="J26" s="2" t="b">
        <v>0</v>
      </c>
      <c r="K26" s="3">
        <v>45857.869988425933</v>
      </c>
      <c r="L26" s="2"/>
      <c r="M26" s="3"/>
      <c r="N26" s="2">
        <v>0</v>
      </c>
      <c r="O26" s="3">
        <v>45373.461747685193</v>
      </c>
      <c r="P26" s="3">
        <v>45931.071539351848</v>
      </c>
      <c r="Q26" s="4">
        <v>4</v>
      </c>
      <c r="R26" s="2" t="s">
        <v>105</v>
      </c>
      <c r="S26" s="4">
        <v>16384</v>
      </c>
      <c r="T26" s="4">
        <v>1310</v>
      </c>
      <c r="U26" s="4">
        <v>3</v>
      </c>
      <c r="V26" s="4">
        <v>5</v>
      </c>
      <c r="W26" s="4">
        <v>8869888</v>
      </c>
      <c r="X26" s="2"/>
      <c r="Y26" s="4" t="s">
        <v>1340</v>
      </c>
      <c r="Z26" s="2" t="s">
        <v>106</v>
      </c>
      <c r="AA26" s="4"/>
      <c r="AB26" s="2" t="b">
        <v>1</v>
      </c>
      <c r="AC26" s="2" t="b">
        <v>1</v>
      </c>
      <c r="AD26" s="2" t="s">
        <v>195</v>
      </c>
      <c r="AE26" s="2" t="s">
        <v>156</v>
      </c>
      <c r="AF26" s="2" t="s">
        <v>109</v>
      </c>
      <c r="AG26" s="2" t="s">
        <v>196</v>
      </c>
      <c r="AH26" s="2"/>
      <c r="AI26" s="2"/>
      <c r="AJ26" s="2"/>
      <c r="AK26" s="2"/>
      <c r="AL26" s="2"/>
      <c r="AM26" s="4">
        <v>1</v>
      </c>
      <c r="AN26" s="4">
        <v>8192</v>
      </c>
      <c r="AO26" s="2" t="s">
        <v>1392</v>
      </c>
      <c r="AP26" s="2" t="s">
        <v>144</v>
      </c>
      <c r="AQ26" s="2" t="s">
        <v>145</v>
      </c>
      <c r="AR26" s="2"/>
      <c r="AS26" s="2" t="b">
        <v>1</v>
      </c>
      <c r="AT26" s="2" t="s">
        <v>113</v>
      </c>
      <c r="AU26" s="4"/>
      <c r="AV26" s="2" t="s">
        <v>104</v>
      </c>
      <c r="AW26" s="4">
        <v>-1</v>
      </c>
      <c r="AX26" s="4">
        <v>-1</v>
      </c>
      <c r="AY26" s="2"/>
      <c r="AZ26" s="4">
        <v>8886509</v>
      </c>
      <c r="BA26" s="4">
        <v>8886509</v>
      </c>
      <c r="BB26" s="4">
        <v>8869888</v>
      </c>
      <c r="BC26" s="2" t="s">
        <v>114</v>
      </c>
      <c r="BD26" s="2" t="s">
        <v>115</v>
      </c>
      <c r="BE26" s="2" t="s">
        <v>116</v>
      </c>
      <c r="BF26" s="2"/>
      <c r="BG26" s="2"/>
      <c r="BH26" s="2" t="b">
        <v>0</v>
      </c>
      <c r="BI26" s="4">
        <v>0</v>
      </c>
      <c r="BJ26" s="4">
        <v>10000</v>
      </c>
      <c r="BK26" s="2" t="b">
        <v>0</v>
      </c>
      <c r="BL26" s="2" t="b">
        <v>0</v>
      </c>
      <c r="BM26" s="2"/>
      <c r="BN26" s="2" t="b">
        <v>1</v>
      </c>
      <c r="BO26" s="2" t="s">
        <v>176</v>
      </c>
      <c r="BP26" s="4">
        <v>19</v>
      </c>
      <c r="BQ26" s="2" t="s">
        <v>115</v>
      </c>
      <c r="BR26" s="2" t="s">
        <v>118</v>
      </c>
      <c r="BS26" s="2"/>
      <c r="BT26" s="2" t="s">
        <v>197</v>
      </c>
      <c r="BU26" s="2" t="s">
        <v>198</v>
      </c>
      <c r="BV26" s="2" t="s">
        <v>198</v>
      </c>
      <c r="BW26" s="2" t="s">
        <v>198</v>
      </c>
      <c r="BX26" s="2" t="s">
        <v>179</v>
      </c>
      <c r="BY26" s="2" t="s">
        <v>1490</v>
      </c>
      <c r="BZ26" s="2" t="s">
        <v>1491</v>
      </c>
      <c r="CA26" s="2" t="s">
        <v>199</v>
      </c>
      <c r="CB26" s="2"/>
      <c r="CC26" s="2"/>
      <c r="CD26" s="2"/>
      <c r="CE26" s="2"/>
      <c r="CF26" s="2"/>
      <c r="CG26" s="2"/>
      <c r="CH26" s="2" t="s">
        <v>121</v>
      </c>
      <c r="CI26" s="2" t="s">
        <v>122</v>
      </c>
      <c r="CJ26" s="2" t="s">
        <v>1130</v>
      </c>
      <c r="CK26" s="2" t="s">
        <v>160</v>
      </c>
      <c r="CL26" s="2" t="s">
        <v>160</v>
      </c>
      <c r="CM26" s="2" t="s">
        <v>126</v>
      </c>
      <c r="CN26" s="2"/>
      <c r="CO26" s="2" t="s">
        <v>199</v>
      </c>
      <c r="CP26" s="2" t="s">
        <v>201</v>
      </c>
      <c r="CQ26" s="2" t="s">
        <v>202</v>
      </c>
      <c r="CR26" s="2" t="s">
        <v>1478</v>
      </c>
      <c r="CS26" s="2" t="s">
        <v>1331</v>
      </c>
      <c r="CT26" s="2" t="s">
        <v>130</v>
      </c>
      <c r="CU26" s="2" t="s">
        <v>131</v>
      </c>
    </row>
    <row r="27" spans="1:102" s="1" customFormat="1" ht="11.25">
      <c r="A27" s="28" t="s">
        <v>475</v>
      </c>
      <c r="B27" s="2" t="s">
        <v>99</v>
      </c>
      <c r="C27" s="2" t="b">
        <v>0</v>
      </c>
      <c r="D27" s="2" t="b">
        <v>0</v>
      </c>
      <c r="E27" s="2" t="s">
        <v>100</v>
      </c>
      <c r="F27" s="2" t="s">
        <v>476</v>
      </c>
      <c r="G27" s="2" t="s">
        <v>102</v>
      </c>
      <c r="H27" s="2" t="s">
        <v>103</v>
      </c>
      <c r="I27" s="2" t="s">
        <v>100</v>
      </c>
      <c r="J27" s="2" t="b">
        <v>0</v>
      </c>
      <c r="K27" s="3">
        <v>45857.871828703697</v>
      </c>
      <c r="L27" s="2"/>
      <c r="M27" s="3"/>
      <c r="N27" s="2">
        <v>0</v>
      </c>
      <c r="O27" s="3">
        <v>25568.791666666672</v>
      </c>
      <c r="P27" s="3">
        <v>45931.260509259257</v>
      </c>
      <c r="Q27" s="4">
        <v>2</v>
      </c>
      <c r="R27" s="2" t="s">
        <v>105</v>
      </c>
      <c r="S27" s="4">
        <v>4096</v>
      </c>
      <c r="T27" s="4">
        <v>1024</v>
      </c>
      <c r="U27" s="4">
        <v>3</v>
      </c>
      <c r="V27" s="4">
        <v>3</v>
      </c>
      <c r="W27" s="4">
        <v>215040</v>
      </c>
      <c r="X27" s="2"/>
      <c r="Y27" s="4" t="s">
        <v>477</v>
      </c>
      <c r="Z27" s="2" t="s">
        <v>106</v>
      </c>
      <c r="AA27" s="4"/>
      <c r="AB27" s="2" t="b">
        <v>1</v>
      </c>
      <c r="AC27" s="2" t="b">
        <v>1</v>
      </c>
      <c r="AD27" s="2" t="s">
        <v>478</v>
      </c>
      <c r="AE27" s="2" t="s">
        <v>479</v>
      </c>
      <c r="AF27" s="2" t="s">
        <v>480</v>
      </c>
      <c r="AG27" s="2" t="s">
        <v>481</v>
      </c>
      <c r="AH27" s="2"/>
      <c r="AI27" s="2"/>
      <c r="AJ27" s="2"/>
      <c r="AK27" s="2"/>
      <c r="AL27" s="2"/>
      <c r="AM27" s="4">
        <v>1</v>
      </c>
      <c r="AN27" s="4">
        <v>16384</v>
      </c>
      <c r="AO27" s="2" t="s">
        <v>482</v>
      </c>
      <c r="AP27" s="2" t="s">
        <v>235</v>
      </c>
      <c r="AQ27" s="2" t="s">
        <v>236</v>
      </c>
      <c r="AR27" s="2"/>
      <c r="AS27" s="2" t="b">
        <v>1</v>
      </c>
      <c r="AT27" s="2" t="s">
        <v>113</v>
      </c>
      <c r="AU27" s="4"/>
      <c r="AV27" s="2" t="s">
        <v>104</v>
      </c>
      <c r="AW27" s="4">
        <v>-1</v>
      </c>
      <c r="AX27" s="4">
        <v>-1</v>
      </c>
      <c r="AY27" s="2"/>
      <c r="AZ27" s="4">
        <v>219225</v>
      </c>
      <c r="BA27" s="4">
        <v>219225</v>
      </c>
      <c r="BB27" s="4">
        <v>215040</v>
      </c>
      <c r="BC27" s="2" t="s">
        <v>114</v>
      </c>
      <c r="BD27" s="2" t="s">
        <v>115</v>
      </c>
      <c r="BE27" s="2" t="s">
        <v>116</v>
      </c>
      <c r="BF27" s="2"/>
      <c r="BG27" s="2"/>
      <c r="BH27" s="2" t="b">
        <v>0</v>
      </c>
      <c r="BI27" s="4">
        <v>0</v>
      </c>
      <c r="BJ27" s="4">
        <v>10000</v>
      </c>
      <c r="BK27" s="2" t="b">
        <v>0</v>
      </c>
      <c r="BL27" s="2" t="b">
        <v>0</v>
      </c>
      <c r="BM27" s="2"/>
      <c r="BN27" s="2" t="b">
        <v>0</v>
      </c>
      <c r="BO27" s="2" t="s">
        <v>117</v>
      </c>
      <c r="BP27" s="4">
        <v>15</v>
      </c>
      <c r="BQ27" s="2" t="s">
        <v>115</v>
      </c>
      <c r="BR27" s="2" t="s">
        <v>118</v>
      </c>
      <c r="BS27" s="2"/>
      <c r="BT27" s="2" t="s">
        <v>483</v>
      </c>
      <c r="BU27" s="2" t="s">
        <v>484</v>
      </c>
      <c r="BV27" s="2" t="s">
        <v>484</v>
      </c>
      <c r="BW27" s="2" t="s">
        <v>484</v>
      </c>
      <c r="BX27" s="2"/>
      <c r="BY27" s="2" t="s">
        <v>1623</v>
      </c>
      <c r="BZ27" s="2" t="s">
        <v>1624</v>
      </c>
      <c r="CA27" s="2" t="s">
        <v>485</v>
      </c>
      <c r="CB27" s="2"/>
      <c r="CC27" s="2"/>
      <c r="CD27" s="2"/>
      <c r="CE27" s="2"/>
      <c r="CF27" s="2"/>
      <c r="CG27" s="2"/>
      <c r="CH27" s="2" t="s">
        <v>121</v>
      </c>
      <c r="CI27" s="2" t="s">
        <v>486</v>
      </c>
      <c r="CJ27" s="2" t="s">
        <v>847</v>
      </c>
      <c r="CK27" s="2" t="s">
        <v>487</v>
      </c>
      <c r="CL27" s="2" t="s">
        <v>487</v>
      </c>
      <c r="CM27" s="2" t="s">
        <v>126</v>
      </c>
      <c r="CN27" s="2"/>
      <c r="CO27" s="2" t="s">
        <v>485</v>
      </c>
      <c r="CP27" s="2" t="s">
        <v>488</v>
      </c>
      <c r="CQ27" s="2" t="s">
        <v>489</v>
      </c>
      <c r="CR27" s="2" t="s">
        <v>1478</v>
      </c>
      <c r="CS27" s="2" t="s">
        <v>1331</v>
      </c>
      <c r="CT27" s="2" t="s">
        <v>130</v>
      </c>
      <c r="CU27" s="2" t="s">
        <v>131</v>
      </c>
    </row>
    <row r="28" spans="1:102" s="1" customFormat="1" ht="11.25">
      <c r="A28" s="28" t="s">
        <v>490</v>
      </c>
      <c r="B28" s="2" t="s">
        <v>99</v>
      </c>
      <c r="C28" s="2" t="b">
        <v>0</v>
      </c>
      <c r="D28" s="2" t="b">
        <v>0</v>
      </c>
      <c r="E28" s="2" t="s">
        <v>100</v>
      </c>
      <c r="F28" s="2" t="s">
        <v>491</v>
      </c>
      <c r="G28" s="2" t="s">
        <v>102</v>
      </c>
      <c r="H28" s="2" t="s">
        <v>103</v>
      </c>
      <c r="I28" s="2" t="s">
        <v>100</v>
      </c>
      <c r="J28" s="2" t="b">
        <v>0</v>
      </c>
      <c r="K28" s="3">
        <v>45497.433564814812</v>
      </c>
      <c r="L28" s="2"/>
      <c r="M28" s="3"/>
      <c r="N28" s="2">
        <v>0</v>
      </c>
      <c r="O28" s="3">
        <v>25568.791666666672</v>
      </c>
      <c r="P28" s="3">
        <v>45922.703761574077</v>
      </c>
      <c r="Q28" s="4">
        <v>4</v>
      </c>
      <c r="R28" s="2"/>
      <c r="S28" s="4">
        <v>4096</v>
      </c>
      <c r="T28" s="4">
        <v>286</v>
      </c>
      <c r="U28" s="4">
        <v>3</v>
      </c>
      <c r="V28" s="4">
        <v>2</v>
      </c>
      <c r="W28" s="4">
        <v>174080</v>
      </c>
      <c r="X28" s="2"/>
      <c r="Y28" s="4" t="s">
        <v>492</v>
      </c>
      <c r="Z28" s="2" t="s">
        <v>106</v>
      </c>
      <c r="AA28" s="4"/>
      <c r="AB28" s="2"/>
      <c r="AC28" s="2" t="b">
        <v>1</v>
      </c>
      <c r="AD28" s="2" t="s">
        <v>493</v>
      </c>
      <c r="AE28" s="2" t="s">
        <v>494</v>
      </c>
      <c r="AF28" s="2" t="s">
        <v>495</v>
      </c>
      <c r="AG28" s="2" t="s">
        <v>496</v>
      </c>
      <c r="AH28" s="2"/>
      <c r="AI28" s="2"/>
      <c r="AJ28" s="2"/>
      <c r="AK28" s="2"/>
      <c r="AL28" s="2"/>
      <c r="AM28" s="4">
        <v>1</v>
      </c>
      <c r="AN28" s="4">
        <v>0</v>
      </c>
      <c r="AO28" s="2" t="s">
        <v>1355</v>
      </c>
      <c r="AP28" s="2" t="s">
        <v>144</v>
      </c>
      <c r="AQ28" s="2" t="s">
        <v>145</v>
      </c>
      <c r="AR28" s="2"/>
      <c r="AS28" s="2" t="b">
        <v>1</v>
      </c>
      <c r="AT28" s="2" t="s">
        <v>113</v>
      </c>
      <c r="AU28" s="4"/>
      <c r="AV28" s="2" t="s">
        <v>104</v>
      </c>
      <c r="AW28" s="4">
        <v>-1</v>
      </c>
      <c r="AX28" s="4">
        <v>-1</v>
      </c>
      <c r="AY28" s="2"/>
      <c r="AZ28" s="4">
        <v>178358</v>
      </c>
      <c r="BA28" s="4">
        <v>178358</v>
      </c>
      <c r="BB28" s="4">
        <v>174080</v>
      </c>
      <c r="BC28" s="2" t="s">
        <v>114</v>
      </c>
      <c r="BD28" s="2" t="s">
        <v>115</v>
      </c>
      <c r="BE28" s="2" t="s">
        <v>116</v>
      </c>
      <c r="BF28" s="2"/>
      <c r="BG28" s="2"/>
      <c r="BH28" s="2" t="b">
        <v>0</v>
      </c>
      <c r="BI28" s="4">
        <v>0</v>
      </c>
      <c r="BJ28" s="4">
        <v>10000</v>
      </c>
      <c r="BK28" s="2" t="b">
        <v>0</v>
      </c>
      <c r="BL28" s="2" t="b">
        <v>0</v>
      </c>
      <c r="BM28" s="2"/>
      <c r="BN28" s="2" t="b">
        <v>0</v>
      </c>
      <c r="BO28" s="2" t="s">
        <v>117</v>
      </c>
      <c r="BP28" s="4">
        <v>13</v>
      </c>
      <c r="BQ28" s="2" t="s">
        <v>115</v>
      </c>
      <c r="BR28" s="2" t="s">
        <v>118</v>
      </c>
      <c r="BS28" s="2"/>
      <c r="BT28" s="2" t="s">
        <v>497</v>
      </c>
      <c r="BU28" s="2" t="s">
        <v>498</v>
      </c>
      <c r="BV28" s="2" t="s">
        <v>498</v>
      </c>
      <c r="BW28" s="2" t="s">
        <v>498</v>
      </c>
      <c r="BX28" s="2" t="s">
        <v>499</v>
      </c>
      <c r="BY28" s="2" t="s">
        <v>1625</v>
      </c>
      <c r="BZ28" s="2" t="s">
        <v>1626</v>
      </c>
      <c r="CA28" s="2" t="s">
        <v>500</v>
      </c>
      <c r="CB28" s="2"/>
      <c r="CC28" s="2"/>
      <c r="CD28" s="2"/>
      <c r="CE28" s="2"/>
      <c r="CF28" s="2"/>
      <c r="CG28" s="2"/>
      <c r="CH28" s="2" t="s">
        <v>121</v>
      </c>
      <c r="CI28" s="2" t="s">
        <v>501</v>
      </c>
      <c r="CJ28" s="2" t="s">
        <v>502</v>
      </c>
      <c r="CK28" s="2" t="s">
        <v>503</v>
      </c>
      <c r="CL28" s="2" t="s">
        <v>503</v>
      </c>
      <c r="CM28" s="2"/>
      <c r="CN28" s="2"/>
      <c r="CO28" s="2" t="s">
        <v>500</v>
      </c>
      <c r="CP28" s="2" t="s">
        <v>504</v>
      </c>
      <c r="CQ28" s="2" t="s">
        <v>505</v>
      </c>
      <c r="CR28" s="2" t="s">
        <v>1478</v>
      </c>
      <c r="CS28" s="2" t="s">
        <v>1331</v>
      </c>
      <c r="CT28" s="2" t="s">
        <v>130</v>
      </c>
      <c r="CU28" s="2" t="s">
        <v>131</v>
      </c>
    </row>
    <row r="29" spans="1:102" s="1" customFormat="1" ht="11.25">
      <c r="A29" s="28" t="s">
        <v>534</v>
      </c>
      <c r="B29" s="2" t="s">
        <v>99</v>
      </c>
      <c r="C29" s="2" t="b">
        <v>0</v>
      </c>
      <c r="D29" s="2" t="b">
        <v>0</v>
      </c>
      <c r="E29" s="2" t="s">
        <v>100</v>
      </c>
      <c r="F29" s="2" t="s">
        <v>535</v>
      </c>
      <c r="G29" s="2" t="s">
        <v>102</v>
      </c>
      <c r="H29" s="2" t="s">
        <v>103</v>
      </c>
      <c r="I29" s="2" t="s">
        <v>100</v>
      </c>
      <c r="J29" s="2" t="b">
        <v>0</v>
      </c>
      <c r="K29" s="3">
        <v>45563.473796296297</v>
      </c>
      <c r="L29" s="2"/>
      <c r="M29" s="3"/>
      <c r="N29" s="2">
        <v>0</v>
      </c>
      <c r="O29" s="3">
        <v>25568.791666666672</v>
      </c>
      <c r="P29" s="3">
        <v>45927.099606481483</v>
      </c>
      <c r="Q29" s="4">
        <v>2</v>
      </c>
      <c r="R29" s="2" t="s">
        <v>105</v>
      </c>
      <c r="S29" s="4">
        <v>8192</v>
      </c>
      <c r="T29" s="4">
        <v>737</v>
      </c>
      <c r="U29" s="4">
        <v>3</v>
      </c>
      <c r="V29" s="4">
        <v>4</v>
      </c>
      <c r="W29" s="4">
        <v>757760</v>
      </c>
      <c r="X29" s="2"/>
      <c r="Y29" s="4" t="s">
        <v>477</v>
      </c>
      <c r="Z29" s="2" t="s">
        <v>106</v>
      </c>
      <c r="AA29" s="4"/>
      <c r="AB29" s="2" t="b">
        <v>1</v>
      </c>
      <c r="AC29" s="2" t="b">
        <v>1</v>
      </c>
      <c r="AD29" s="2" t="s">
        <v>536</v>
      </c>
      <c r="AE29" s="2" t="s">
        <v>479</v>
      </c>
      <c r="AF29" s="2" t="s">
        <v>537</v>
      </c>
      <c r="AG29" s="2" t="s">
        <v>508</v>
      </c>
      <c r="AH29" s="2"/>
      <c r="AI29" s="2"/>
      <c r="AJ29" s="2"/>
      <c r="AK29" s="2"/>
      <c r="AL29" s="2"/>
      <c r="AM29" s="4">
        <v>1</v>
      </c>
      <c r="AN29" s="4">
        <v>16384</v>
      </c>
      <c r="AO29" s="2" t="s">
        <v>482</v>
      </c>
      <c r="AP29" s="2" t="s">
        <v>235</v>
      </c>
      <c r="AQ29" s="2" t="s">
        <v>236</v>
      </c>
      <c r="AR29" s="2"/>
      <c r="AS29" s="2" t="b">
        <v>1</v>
      </c>
      <c r="AT29" s="2" t="s">
        <v>113</v>
      </c>
      <c r="AU29" s="4"/>
      <c r="AV29" s="2" t="s">
        <v>104</v>
      </c>
      <c r="AW29" s="4">
        <v>-1</v>
      </c>
      <c r="AX29" s="4">
        <v>-1</v>
      </c>
      <c r="AY29" s="2"/>
      <c r="AZ29" s="4">
        <v>766099</v>
      </c>
      <c r="BA29" s="4">
        <v>766099</v>
      </c>
      <c r="BB29" s="4">
        <v>757760</v>
      </c>
      <c r="BC29" s="2" t="s">
        <v>114</v>
      </c>
      <c r="BD29" s="2" t="s">
        <v>115</v>
      </c>
      <c r="BE29" s="2" t="s">
        <v>116</v>
      </c>
      <c r="BF29" s="2"/>
      <c r="BG29" s="2"/>
      <c r="BH29" s="2" t="b">
        <v>0</v>
      </c>
      <c r="BI29" s="4">
        <v>0</v>
      </c>
      <c r="BJ29" s="4">
        <v>10000</v>
      </c>
      <c r="BK29" s="2" t="b">
        <v>0</v>
      </c>
      <c r="BL29" s="2" t="b">
        <v>0</v>
      </c>
      <c r="BM29" s="2"/>
      <c r="BN29" s="2" t="b">
        <v>0</v>
      </c>
      <c r="BO29" s="2" t="s">
        <v>117</v>
      </c>
      <c r="BP29" s="4">
        <v>13</v>
      </c>
      <c r="BQ29" s="2" t="s">
        <v>115</v>
      </c>
      <c r="BR29" s="2" t="s">
        <v>118</v>
      </c>
      <c r="BS29" s="2"/>
      <c r="BT29" s="2" t="s">
        <v>538</v>
      </c>
      <c r="BU29" s="2" t="s">
        <v>539</v>
      </c>
      <c r="BV29" s="2" t="s">
        <v>539</v>
      </c>
      <c r="BW29" s="2" t="s">
        <v>539</v>
      </c>
      <c r="BX29" s="2" t="s">
        <v>540</v>
      </c>
      <c r="BY29" s="2" t="s">
        <v>1633</v>
      </c>
      <c r="BZ29" s="2" t="s">
        <v>1634</v>
      </c>
      <c r="CA29" s="2" t="s">
        <v>541</v>
      </c>
      <c r="CB29" s="2"/>
      <c r="CC29" s="2"/>
      <c r="CD29" s="2"/>
      <c r="CE29" s="2"/>
      <c r="CF29" s="2"/>
      <c r="CG29" s="2"/>
      <c r="CH29" s="2" t="s">
        <v>121</v>
      </c>
      <c r="CI29" s="2" t="s">
        <v>486</v>
      </c>
      <c r="CJ29" s="2" t="s">
        <v>847</v>
      </c>
      <c r="CK29" s="2" t="s">
        <v>487</v>
      </c>
      <c r="CL29" s="2" t="s">
        <v>487</v>
      </c>
      <c r="CM29" s="2" t="s">
        <v>126</v>
      </c>
      <c r="CN29" s="2"/>
      <c r="CO29" s="2" t="s">
        <v>541</v>
      </c>
      <c r="CP29" s="2" t="s">
        <v>542</v>
      </c>
      <c r="CQ29" s="2" t="s">
        <v>543</v>
      </c>
      <c r="CR29" s="2" t="s">
        <v>1478</v>
      </c>
      <c r="CS29" s="2" t="s">
        <v>1331</v>
      </c>
      <c r="CT29" s="2" t="s">
        <v>130</v>
      </c>
      <c r="CU29" s="2" t="s">
        <v>131</v>
      </c>
    </row>
    <row r="30" spans="1:102" s="1" customFormat="1" ht="11.25">
      <c r="A30" s="28" t="s">
        <v>544</v>
      </c>
      <c r="B30" s="2" t="s">
        <v>99</v>
      </c>
      <c r="C30" s="2" t="b">
        <v>0</v>
      </c>
      <c r="D30" s="2" t="b">
        <v>0</v>
      </c>
      <c r="E30" s="2" t="s">
        <v>100</v>
      </c>
      <c r="F30" s="2" t="s">
        <v>545</v>
      </c>
      <c r="G30" s="2" t="s">
        <v>102</v>
      </c>
      <c r="H30" s="2" t="s">
        <v>103</v>
      </c>
      <c r="I30" s="2" t="s">
        <v>100</v>
      </c>
      <c r="J30" s="2" t="b">
        <v>0</v>
      </c>
      <c r="K30" s="3">
        <v>45641.429293981477</v>
      </c>
      <c r="L30" s="2"/>
      <c r="M30" s="3"/>
      <c r="N30" s="2">
        <v>0</v>
      </c>
      <c r="O30" s="3">
        <v>25568.791666666672</v>
      </c>
      <c r="P30" s="3">
        <v>45922.727141203701</v>
      </c>
      <c r="Q30" s="4">
        <v>8</v>
      </c>
      <c r="R30" s="2"/>
      <c r="S30" s="4">
        <v>4096</v>
      </c>
      <c r="T30" s="4">
        <v>409</v>
      </c>
      <c r="U30" s="4">
        <v>3</v>
      </c>
      <c r="V30" s="4">
        <v>2</v>
      </c>
      <c r="W30" s="4">
        <v>194560</v>
      </c>
      <c r="X30" s="2"/>
      <c r="Y30" s="4" t="s">
        <v>492</v>
      </c>
      <c r="Z30" s="2" t="s">
        <v>106</v>
      </c>
      <c r="AA30" s="4"/>
      <c r="AB30" s="2"/>
      <c r="AC30" s="2" t="b">
        <v>1</v>
      </c>
      <c r="AD30" s="2" t="s">
        <v>546</v>
      </c>
      <c r="AE30" s="2" t="s">
        <v>494</v>
      </c>
      <c r="AF30" s="2" t="s">
        <v>495</v>
      </c>
      <c r="AG30" s="2" t="s">
        <v>496</v>
      </c>
      <c r="AH30" s="2"/>
      <c r="AI30" s="2"/>
      <c r="AJ30" s="2"/>
      <c r="AK30" s="2"/>
      <c r="AL30" s="2"/>
      <c r="AM30" s="4">
        <v>1</v>
      </c>
      <c r="AN30" s="4">
        <v>4096</v>
      </c>
      <c r="AO30" s="2" t="s">
        <v>1355</v>
      </c>
      <c r="AP30" s="2" t="s">
        <v>235</v>
      </c>
      <c r="AQ30" s="2" t="s">
        <v>236</v>
      </c>
      <c r="AR30" s="2"/>
      <c r="AS30" s="2" t="b">
        <v>1</v>
      </c>
      <c r="AT30" s="2" t="s">
        <v>113</v>
      </c>
      <c r="AU30" s="4"/>
      <c r="AV30" s="2" t="s">
        <v>104</v>
      </c>
      <c r="AW30" s="4">
        <v>-1</v>
      </c>
      <c r="AX30" s="4">
        <v>-1</v>
      </c>
      <c r="AY30" s="2"/>
      <c r="AZ30" s="4">
        <v>198858</v>
      </c>
      <c r="BA30" s="4">
        <v>198858</v>
      </c>
      <c r="BB30" s="4">
        <v>194560</v>
      </c>
      <c r="BC30" s="2" t="s">
        <v>114</v>
      </c>
      <c r="BD30" s="2" t="s">
        <v>115</v>
      </c>
      <c r="BE30" s="2" t="s">
        <v>116</v>
      </c>
      <c r="BF30" s="2"/>
      <c r="BG30" s="2"/>
      <c r="BH30" s="2" t="b">
        <v>0</v>
      </c>
      <c r="BI30" s="4">
        <v>0</v>
      </c>
      <c r="BJ30" s="4">
        <v>10000</v>
      </c>
      <c r="BK30" s="2" t="b">
        <v>0</v>
      </c>
      <c r="BL30" s="2" t="b">
        <v>0</v>
      </c>
      <c r="BM30" s="2"/>
      <c r="BN30" s="2" t="b">
        <v>0</v>
      </c>
      <c r="BO30" s="2" t="s">
        <v>117</v>
      </c>
      <c r="BP30" s="4">
        <v>13</v>
      </c>
      <c r="BQ30" s="2" t="s">
        <v>115</v>
      </c>
      <c r="BR30" s="2" t="s">
        <v>118</v>
      </c>
      <c r="BS30" s="2"/>
      <c r="BT30" s="2" t="s">
        <v>547</v>
      </c>
      <c r="BU30" s="2" t="s">
        <v>548</v>
      </c>
      <c r="BV30" s="2" t="s">
        <v>548</v>
      </c>
      <c r="BW30" s="2" t="s">
        <v>548</v>
      </c>
      <c r="BX30" s="2"/>
      <c r="BY30" s="2" t="s">
        <v>1635</v>
      </c>
      <c r="BZ30" s="2" t="s">
        <v>1636</v>
      </c>
      <c r="CA30" s="2" t="s">
        <v>549</v>
      </c>
      <c r="CB30" s="2"/>
      <c r="CC30" s="2"/>
      <c r="CD30" s="2"/>
      <c r="CE30" s="2"/>
      <c r="CF30" s="2"/>
      <c r="CG30" s="2"/>
      <c r="CH30" s="2" t="s">
        <v>121</v>
      </c>
      <c r="CI30" s="2" t="s">
        <v>501</v>
      </c>
      <c r="CJ30" s="2" t="s">
        <v>550</v>
      </c>
      <c r="CK30" s="2" t="s">
        <v>503</v>
      </c>
      <c r="CL30" s="2" t="s">
        <v>503</v>
      </c>
      <c r="CM30" s="2"/>
      <c r="CN30" s="2"/>
      <c r="CO30" s="2" t="s">
        <v>549</v>
      </c>
      <c r="CP30" s="2" t="s">
        <v>551</v>
      </c>
      <c r="CQ30" s="2" t="s">
        <v>552</v>
      </c>
      <c r="CR30" s="2" t="s">
        <v>1478</v>
      </c>
      <c r="CS30" s="2" t="s">
        <v>1331</v>
      </c>
      <c r="CT30" s="2" t="s">
        <v>130</v>
      </c>
      <c r="CU30" s="2" t="s">
        <v>131</v>
      </c>
    </row>
    <row r="31" spans="1:102" s="1" customFormat="1" ht="11.25">
      <c r="A31" s="28" t="s">
        <v>571</v>
      </c>
      <c r="B31" s="2" t="s">
        <v>99</v>
      </c>
      <c r="C31" s="2" t="b">
        <v>0</v>
      </c>
      <c r="D31" s="2" t="b">
        <v>0</v>
      </c>
      <c r="E31" s="2" t="s">
        <v>100</v>
      </c>
      <c r="F31" s="2" t="s">
        <v>572</v>
      </c>
      <c r="G31" s="2" t="s">
        <v>102</v>
      </c>
      <c r="H31" s="2" t="s">
        <v>103</v>
      </c>
      <c r="I31" s="2" t="s">
        <v>100</v>
      </c>
      <c r="J31" s="2" t="b">
        <v>0</v>
      </c>
      <c r="K31" s="3">
        <v>45622.476006944453</v>
      </c>
      <c r="L31" s="2"/>
      <c r="M31" s="3"/>
      <c r="N31" s="2">
        <v>0</v>
      </c>
      <c r="O31" s="3">
        <v>25568.791666666672</v>
      </c>
      <c r="P31" s="3">
        <v>45922.723321759258</v>
      </c>
      <c r="Q31" s="4">
        <v>4</v>
      </c>
      <c r="R31" s="2"/>
      <c r="S31" s="4">
        <v>4096</v>
      </c>
      <c r="T31" s="4">
        <v>696</v>
      </c>
      <c r="U31" s="4">
        <v>3</v>
      </c>
      <c r="V31" s="4">
        <v>2</v>
      </c>
      <c r="W31" s="4">
        <v>133120</v>
      </c>
      <c r="X31" s="2"/>
      <c r="Y31" s="4" t="s">
        <v>492</v>
      </c>
      <c r="Z31" s="2" t="s">
        <v>106</v>
      </c>
      <c r="AA31" s="4"/>
      <c r="AB31" s="2"/>
      <c r="AC31" s="2" t="b">
        <v>1</v>
      </c>
      <c r="AD31" s="2" t="s">
        <v>573</v>
      </c>
      <c r="AE31" s="2" t="s">
        <v>494</v>
      </c>
      <c r="AF31" s="2" t="s">
        <v>495</v>
      </c>
      <c r="AG31" s="2" t="s">
        <v>496</v>
      </c>
      <c r="AH31" s="2"/>
      <c r="AI31" s="2"/>
      <c r="AJ31" s="2"/>
      <c r="AK31" s="2"/>
      <c r="AL31" s="2"/>
      <c r="AM31" s="4">
        <v>1</v>
      </c>
      <c r="AN31" s="4">
        <v>0</v>
      </c>
      <c r="AO31" s="2" t="s">
        <v>1355</v>
      </c>
      <c r="AP31" s="2" t="s">
        <v>235</v>
      </c>
      <c r="AQ31" s="2" t="s">
        <v>236</v>
      </c>
      <c r="AR31" s="2"/>
      <c r="AS31" s="2" t="b">
        <v>1</v>
      </c>
      <c r="AT31" s="2" t="s">
        <v>113</v>
      </c>
      <c r="AU31" s="4"/>
      <c r="AV31" s="2" t="s">
        <v>104</v>
      </c>
      <c r="AW31" s="4">
        <v>-1</v>
      </c>
      <c r="AX31" s="4">
        <v>-1</v>
      </c>
      <c r="AY31" s="2"/>
      <c r="AZ31" s="4">
        <v>137405</v>
      </c>
      <c r="BA31" s="4">
        <v>137405</v>
      </c>
      <c r="BB31" s="4">
        <v>133120</v>
      </c>
      <c r="BC31" s="2" t="s">
        <v>114</v>
      </c>
      <c r="BD31" s="2" t="s">
        <v>115</v>
      </c>
      <c r="BE31" s="2" t="s">
        <v>116</v>
      </c>
      <c r="BF31" s="2"/>
      <c r="BG31" s="2"/>
      <c r="BH31" s="2" t="b">
        <v>0</v>
      </c>
      <c r="BI31" s="4">
        <v>0</v>
      </c>
      <c r="BJ31" s="4">
        <v>10000</v>
      </c>
      <c r="BK31" s="2" t="b">
        <v>0</v>
      </c>
      <c r="BL31" s="2" t="b">
        <v>0</v>
      </c>
      <c r="BM31" s="2"/>
      <c r="BN31" s="2" t="b">
        <v>0</v>
      </c>
      <c r="BO31" s="2" t="s">
        <v>117</v>
      </c>
      <c r="BP31" s="4">
        <v>13</v>
      </c>
      <c r="BQ31" s="2" t="s">
        <v>115</v>
      </c>
      <c r="BR31" s="2" t="s">
        <v>118</v>
      </c>
      <c r="BS31" s="2"/>
      <c r="BT31" s="2" t="s">
        <v>574</v>
      </c>
      <c r="BU31" s="2" t="s">
        <v>575</v>
      </c>
      <c r="BV31" s="2" t="s">
        <v>575</v>
      </c>
      <c r="BW31" s="2" t="s">
        <v>575</v>
      </c>
      <c r="BX31" s="2"/>
      <c r="BY31" s="2" t="s">
        <v>1642</v>
      </c>
      <c r="BZ31" s="2" t="s">
        <v>1643</v>
      </c>
      <c r="CA31" s="2" t="s">
        <v>576</v>
      </c>
      <c r="CB31" s="2"/>
      <c r="CC31" s="2"/>
      <c r="CD31" s="2"/>
      <c r="CE31" s="2"/>
      <c r="CF31" s="2"/>
      <c r="CG31" s="2"/>
      <c r="CH31" s="2" t="s">
        <v>121</v>
      </c>
      <c r="CI31" s="2" t="s">
        <v>501</v>
      </c>
      <c r="CJ31" s="2" t="s">
        <v>502</v>
      </c>
      <c r="CK31" s="2" t="s">
        <v>503</v>
      </c>
      <c r="CL31" s="2" t="s">
        <v>503</v>
      </c>
      <c r="CM31" s="2"/>
      <c r="CN31" s="2"/>
      <c r="CO31" s="2" t="s">
        <v>576</v>
      </c>
      <c r="CP31" s="2" t="s">
        <v>577</v>
      </c>
      <c r="CQ31" s="2" t="s">
        <v>578</v>
      </c>
      <c r="CR31" s="2" t="s">
        <v>1478</v>
      </c>
      <c r="CS31" s="2" t="s">
        <v>1331</v>
      </c>
      <c r="CT31" s="2" t="s">
        <v>130</v>
      </c>
      <c r="CU31" s="2" t="s">
        <v>131</v>
      </c>
    </row>
    <row r="32" spans="1:102" s="1" customFormat="1" ht="11.25">
      <c r="A32" s="28" t="s">
        <v>648</v>
      </c>
      <c r="B32" s="2" t="s">
        <v>99</v>
      </c>
      <c r="C32" s="2" t="b">
        <v>0</v>
      </c>
      <c r="D32" s="2" t="b">
        <v>0</v>
      </c>
      <c r="E32" s="2" t="s">
        <v>100</v>
      </c>
      <c r="F32" s="2" t="s">
        <v>649</v>
      </c>
      <c r="G32" s="2" t="s">
        <v>102</v>
      </c>
      <c r="H32" s="2" t="s">
        <v>103</v>
      </c>
      <c r="I32" s="2" t="s">
        <v>100</v>
      </c>
      <c r="J32" s="2" t="b">
        <v>0</v>
      </c>
      <c r="K32" s="3">
        <v>45773.996354166673</v>
      </c>
      <c r="L32" s="2"/>
      <c r="M32" s="3"/>
      <c r="N32" s="2">
        <v>0</v>
      </c>
      <c r="O32" s="3">
        <v>25568.791666666672</v>
      </c>
      <c r="P32" s="3">
        <v>45922.728946759264</v>
      </c>
      <c r="Q32" s="4">
        <v>4</v>
      </c>
      <c r="R32" s="2"/>
      <c r="S32" s="4">
        <v>12288</v>
      </c>
      <c r="T32" s="4">
        <v>860</v>
      </c>
      <c r="U32" s="4">
        <v>3</v>
      </c>
      <c r="V32" s="4">
        <v>2</v>
      </c>
      <c r="W32" s="4">
        <v>112640</v>
      </c>
      <c r="X32" s="2"/>
      <c r="Y32" s="4" t="s">
        <v>492</v>
      </c>
      <c r="Z32" s="2" t="s">
        <v>106</v>
      </c>
      <c r="AA32" s="4"/>
      <c r="AB32" s="2" t="b">
        <v>1</v>
      </c>
      <c r="AC32" s="2" t="b">
        <v>1</v>
      </c>
      <c r="AD32" s="2" t="s">
        <v>650</v>
      </c>
      <c r="AE32" s="2" t="s">
        <v>495</v>
      </c>
      <c r="AF32" s="2" t="s">
        <v>651</v>
      </c>
      <c r="AG32" s="2" t="s">
        <v>496</v>
      </c>
      <c r="AH32" s="2"/>
      <c r="AI32" s="2"/>
      <c r="AJ32" s="2"/>
      <c r="AK32" s="2"/>
      <c r="AL32" s="2"/>
      <c r="AM32" s="4">
        <v>1</v>
      </c>
      <c r="AN32" s="4">
        <v>0</v>
      </c>
      <c r="AO32" s="2" t="s">
        <v>1355</v>
      </c>
      <c r="AP32" s="2" t="s">
        <v>235</v>
      </c>
      <c r="AQ32" s="2" t="s">
        <v>236</v>
      </c>
      <c r="AR32" s="2"/>
      <c r="AS32" s="2" t="b">
        <v>1</v>
      </c>
      <c r="AT32" s="2" t="s">
        <v>113</v>
      </c>
      <c r="AU32" s="4"/>
      <c r="AV32" s="2" t="s">
        <v>104</v>
      </c>
      <c r="AW32" s="4">
        <v>-1</v>
      </c>
      <c r="AX32" s="4">
        <v>-1</v>
      </c>
      <c r="AY32" s="2"/>
      <c r="AZ32" s="4">
        <v>125157</v>
      </c>
      <c r="BA32" s="4">
        <v>125157</v>
      </c>
      <c r="BB32" s="4">
        <v>112640</v>
      </c>
      <c r="BC32" s="2" t="s">
        <v>114</v>
      </c>
      <c r="BD32" s="2" t="s">
        <v>115</v>
      </c>
      <c r="BE32" s="2" t="s">
        <v>116</v>
      </c>
      <c r="BF32" s="2"/>
      <c r="BG32" s="2"/>
      <c r="BH32" s="2" t="b">
        <v>0</v>
      </c>
      <c r="BI32" s="4">
        <v>0</v>
      </c>
      <c r="BJ32" s="4">
        <v>10000</v>
      </c>
      <c r="BK32" s="2" t="b">
        <v>0</v>
      </c>
      <c r="BL32" s="2" t="b">
        <v>0</v>
      </c>
      <c r="BM32" s="2"/>
      <c r="BN32" s="2" t="b">
        <v>0</v>
      </c>
      <c r="BO32" s="2" t="s">
        <v>117</v>
      </c>
      <c r="BP32" s="4">
        <v>13</v>
      </c>
      <c r="BQ32" s="2" t="s">
        <v>115</v>
      </c>
      <c r="BR32" s="2" t="s">
        <v>118</v>
      </c>
      <c r="BS32" s="2"/>
      <c r="BT32" s="2" t="s">
        <v>652</v>
      </c>
      <c r="BU32" s="2" t="s">
        <v>653</v>
      </c>
      <c r="BV32" s="2" t="s">
        <v>653</v>
      </c>
      <c r="BW32" s="2" t="s">
        <v>653</v>
      </c>
      <c r="BX32" s="2"/>
      <c r="BY32" s="2" t="s">
        <v>1666</v>
      </c>
      <c r="BZ32" s="2" t="s">
        <v>1667</v>
      </c>
      <c r="CA32" s="2" t="s">
        <v>654</v>
      </c>
      <c r="CB32" s="2"/>
      <c r="CC32" s="2"/>
      <c r="CD32" s="2"/>
      <c r="CE32" s="2"/>
      <c r="CF32" s="2"/>
      <c r="CG32" s="2"/>
      <c r="CH32" s="2" t="s">
        <v>121</v>
      </c>
      <c r="CI32" s="2" t="s">
        <v>501</v>
      </c>
      <c r="CJ32" s="2" t="s">
        <v>530</v>
      </c>
      <c r="CK32" s="2" t="s">
        <v>487</v>
      </c>
      <c r="CL32" s="2" t="s">
        <v>487</v>
      </c>
      <c r="CM32" s="2"/>
      <c r="CN32" s="2"/>
      <c r="CO32" s="2" t="s">
        <v>654</v>
      </c>
      <c r="CP32" s="2" t="s">
        <v>655</v>
      </c>
      <c r="CQ32" s="2" t="s">
        <v>656</v>
      </c>
      <c r="CR32" s="2" t="s">
        <v>1478</v>
      </c>
      <c r="CS32" s="2" t="s">
        <v>1331</v>
      </c>
      <c r="CT32" s="2" t="s">
        <v>130</v>
      </c>
      <c r="CU32" s="2" t="s">
        <v>131</v>
      </c>
    </row>
    <row r="33" spans="1:99" s="1" customFormat="1" ht="11.25">
      <c r="A33" s="28" t="s">
        <v>665</v>
      </c>
      <c r="B33" s="2" t="s">
        <v>99</v>
      </c>
      <c r="C33" s="2" t="b">
        <v>0</v>
      </c>
      <c r="D33" s="2" t="b">
        <v>0</v>
      </c>
      <c r="E33" s="2" t="s">
        <v>100</v>
      </c>
      <c r="F33" s="2" t="s">
        <v>666</v>
      </c>
      <c r="G33" s="2" t="s">
        <v>102</v>
      </c>
      <c r="H33" s="2" t="s">
        <v>103</v>
      </c>
      <c r="I33" s="2" t="s">
        <v>100</v>
      </c>
      <c r="J33" s="2" t="b">
        <v>0</v>
      </c>
      <c r="K33" s="3">
        <v>45773.994293981479</v>
      </c>
      <c r="L33" s="2"/>
      <c r="M33" s="3"/>
      <c r="N33" s="2">
        <v>0</v>
      </c>
      <c r="O33" s="3">
        <v>25568.791666666672</v>
      </c>
      <c r="P33" s="3">
        <v>45931.258344907408</v>
      </c>
      <c r="Q33" s="4">
        <v>4</v>
      </c>
      <c r="R33" s="2" t="s">
        <v>105</v>
      </c>
      <c r="S33" s="4">
        <v>2048</v>
      </c>
      <c r="T33" s="4">
        <v>614</v>
      </c>
      <c r="U33" s="4">
        <v>3</v>
      </c>
      <c r="V33" s="4">
        <v>1</v>
      </c>
      <c r="W33" s="4">
        <v>20480</v>
      </c>
      <c r="X33" s="2"/>
      <c r="Y33" s="4" t="s">
        <v>477</v>
      </c>
      <c r="Z33" s="2" t="s">
        <v>106</v>
      </c>
      <c r="AA33" s="4"/>
      <c r="AB33" s="2"/>
      <c r="AC33" s="2" t="b">
        <v>1</v>
      </c>
      <c r="AD33" s="2" t="s">
        <v>667</v>
      </c>
      <c r="AE33" s="2" t="s">
        <v>668</v>
      </c>
      <c r="AF33" s="2" t="s">
        <v>480</v>
      </c>
      <c r="AG33" s="2" t="s">
        <v>481</v>
      </c>
      <c r="AH33" s="2"/>
      <c r="AI33" s="2"/>
      <c r="AJ33" s="2"/>
      <c r="AK33" s="2"/>
      <c r="AL33" s="2"/>
      <c r="AM33" s="4">
        <v>1</v>
      </c>
      <c r="AN33" s="4">
        <v>16384</v>
      </c>
      <c r="AO33" s="2" t="s">
        <v>482</v>
      </c>
      <c r="AP33" s="2" t="s">
        <v>144</v>
      </c>
      <c r="AQ33" s="2" t="s">
        <v>145</v>
      </c>
      <c r="AR33" s="2"/>
      <c r="AS33" s="2" t="b">
        <v>1</v>
      </c>
      <c r="AT33" s="2" t="s">
        <v>113</v>
      </c>
      <c r="AU33" s="4"/>
      <c r="AV33" s="2" t="s">
        <v>104</v>
      </c>
      <c r="AW33" s="4">
        <v>-1</v>
      </c>
      <c r="AX33" s="4">
        <v>-1</v>
      </c>
      <c r="AY33" s="2"/>
      <c r="AZ33" s="4">
        <v>22613</v>
      </c>
      <c r="BA33" s="4">
        <v>22613</v>
      </c>
      <c r="BB33" s="4">
        <v>20480</v>
      </c>
      <c r="BC33" s="2" t="s">
        <v>114</v>
      </c>
      <c r="BD33" s="2" t="s">
        <v>115</v>
      </c>
      <c r="BE33" s="2" t="s">
        <v>116</v>
      </c>
      <c r="BF33" s="2"/>
      <c r="BG33" s="2"/>
      <c r="BH33" s="2" t="b">
        <v>0</v>
      </c>
      <c r="BI33" s="4">
        <v>0</v>
      </c>
      <c r="BJ33" s="4">
        <v>10000</v>
      </c>
      <c r="BK33" s="2" t="b">
        <v>0</v>
      </c>
      <c r="BL33" s="2" t="b">
        <v>0</v>
      </c>
      <c r="BM33" s="2"/>
      <c r="BN33" s="2" t="b">
        <v>0</v>
      </c>
      <c r="BO33" s="2" t="s">
        <v>117</v>
      </c>
      <c r="BP33" s="4">
        <v>14</v>
      </c>
      <c r="BQ33" s="2" t="s">
        <v>115</v>
      </c>
      <c r="BR33" s="2" t="s">
        <v>118</v>
      </c>
      <c r="BS33" s="2"/>
      <c r="BT33" s="2" t="s">
        <v>669</v>
      </c>
      <c r="BU33" s="2" t="s">
        <v>670</v>
      </c>
      <c r="BV33" s="2" t="s">
        <v>670</v>
      </c>
      <c r="BW33" s="2" t="s">
        <v>670</v>
      </c>
      <c r="BX33" s="2" t="s">
        <v>671</v>
      </c>
      <c r="BY33" s="2" t="s">
        <v>1670</v>
      </c>
      <c r="BZ33" s="2" t="s">
        <v>1671</v>
      </c>
      <c r="CA33" s="2" t="s">
        <v>672</v>
      </c>
      <c r="CB33" s="2"/>
      <c r="CC33" s="2"/>
      <c r="CD33" s="2"/>
      <c r="CE33" s="2"/>
      <c r="CF33" s="2"/>
      <c r="CG33" s="2"/>
      <c r="CH33" s="2" t="s">
        <v>121</v>
      </c>
      <c r="CI33" s="2" t="s">
        <v>486</v>
      </c>
      <c r="CJ33" s="2" t="s">
        <v>673</v>
      </c>
      <c r="CK33" s="2" t="s">
        <v>674</v>
      </c>
      <c r="CL33" s="2" t="s">
        <v>568</v>
      </c>
      <c r="CM33" s="2" t="s">
        <v>126</v>
      </c>
      <c r="CN33" s="2"/>
      <c r="CO33" s="2" t="s">
        <v>672</v>
      </c>
      <c r="CP33" s="2" t="s">
        <v>675</v>
      </c>
      <c r="CQ33" s="2" t="s">
        <v>676</v>
      </c>
      <c r="CR33" s="2" t="s">
        <v>1478</v>
      </c>
      <c r="CS33" s="2" t="s">
        <v>1331</v>
      </c>
      <c r="CT33" s="2" t="s">
        <v>130</v>
      </c>
      <c r="CU33" s="2" t="s">
        <v>131</v>
      </c>
    </row>
    <row r="34" spans="1:99" s="1" customFormat="1" ht="11.25">
      <c r="A34" s="28" t="s">
        <v>789</v>
      </c>
      <c r="B34" s="2" t="s">
        <v>99</v>
      </c>
      <c r="C34" s="2" t="b">
        <v>0</v>
      </c>
      <c r="D34" s="2" t="b">
        <v>0</v>
      </c>
      <c r="E34" s="2" t="s">
        <v>100</v>
      </c>
      <c r="F34" s="2" t="s">
        <v>790</v>
      </c>
      <c r="G34" s="2" t="s">
        <v>102</v>
      </c>
      <c r="H34" s="2" t="s">
        <v>103</v>
      </c>
      <c r="I34" s="2" t="s">
        <v>100</v>
      </c>
      <c r="J34" s="2" t="b">
        <v>0</v>
      </c>
      <c r="K34" s="3">
        <v>45774.80201388889</v>
      </c>
      <c r="L34" s="2"/>
      <c r="M34" s="3"/>
      <c r="N34" s="2">
        <v>0</v>
      </c>
      <c r="O34" s="3">
        <v>43980.708275462966</v>
      </c>
      <c r="P34" s="3">
        <v>45926.754699074067</v>
      </c>
      <c r="Q34" s="4">
        <v>2</v>
      </c>
      <c r="R34" s="2" t="s">
        <v>105</v>
      </c>
      <c r="S34" s="4">
        <v>12288</v>
      </c>
      <c r="T34" s="4">
        <v>983</v>
      </c>
      <c r="U34" s="4">
        <v>3</v>
      </c>
      <c r="V34" s="4">
        <v>3</v>
      </c>
      <c r="W34" s="4">
        <v>153600</v>
      </c>
      <c r="X34" s="2"/>
      <c r="Y34" s="4" t="s">
        <v>791</v>
      </c>
      <c r="Z34" s="2" t="s">
        <v>106</v>
      </c>
      <c r="AA34" s="4"/>
      <c r="AB34" s="2" t="b">
        <v>1</v>
      </c>
      <c r="AC34" s="2" t="b">
        <v>1</v>
      </c>
      <c r="AD34" s="2" t="s">
        <v>792</v>
      </c>
      <c r="AE34" s="2" t="s">
        <v>793</v>
      </c>
      <c r="AF34" s="2" t="s">
        <v>794</v>
      </c>
      <c r="AG34" s="2" t="s">
        <v>795</v>
      </c>
      <c r="AH34" s="2"/>
      <c r="AI34" s="2"/>
      <c r="AJ34" s="2"/>
      <c r="AK34" s="2"/>
      <c r="AL34" s="2"/>
      <c r="AM34" s="4">
        <v>1</v>
      </c>
      <c r="AN34" s="4">
        <v>16384</v>
      </c>
      <c r="AO34" s="2" t="s">
        <v>796</v>
      </c>
      <c r="AP34" s="2" t="s">
        <v>797</v>
      </c>
      <c r="AQ34" s="2" t="s">
        <v>798</v>
      </c>
      <c r="AR34" s="2"/>
      <c r="AS34" s="2" t="b">
        <v>1</v>
      </c>
      <c r="AT34" s="2" t="s">
        <v>113</v>
      </c>
      <c r="AU34" s="4"/>
      <c r="AV34" s="2" t="s">
        <v>104</v>
      </c>
      <c r="AW34" s="4">
        <v>-1</v>
      </c>
      <c r="AX34" s="4">
        <v>-1</v>
      </c>
      <c r="AY34" s="2"/>
      <c r="AZ34" s="4">
        <v>166041</v>
      </c>
      <c r="BA34" s="4">
        <v>166041</v>
      </c>
      <c r="BB34" s="4">
        <v>153600</v>
      </c>
      <c r="BC34" s="2" t="s">
        <v>114</v>
      </c>
      <c r="BD34" s="2" t="s">
        <v>115</v>
      </c>
      <c r="BE34" s="2" t="s">
        <v>116</v>
      </c>
      <c r="BF34" s="2"/>
      <c r="BG34" s="2"/>
      <c r="BH34" s="2" t="b">
        <v>0</v>
      </c>
      <c r="BI34" s="4">
        <v>0</v>
      </c>
      <c r="BJ34" s="4">
        <v>10000</v>
      </c>
      <c r="BK34" s="2" t="b">
        <v>0</v>
      </c>
      <c r="BL34" s="2" t="b">
        <v>0</v>
      </c>
      <c r="BM34" s="2"/>
      <c r="BN34" s="2" t="b">
        <v>0</v>
      </c>
      <c r="BO34" s="2" t="s">
        <v>117</v>
      </c>
      <c r="BP34" s="4">
        <v>15</v>
      </c>
      <c r="BQ34" s="2" t="s">
        <v>115</v>
      </c>
      <c r="BR34" s="2" t="s">
        <v>118</v>
      </c>
      <c r="BS34" s="2"/>
      <c r="BT34" s="2" t="s">
        <v>799</v>
      </c>
      <c r="BU34" s="2" t="s">
        <v>800</v>
      </c>
      <c r="BV34" s="2" t="s">
        <v>800</v>
      </c>
      <c r="BW34" s="2" t="s">
        <v>800</v>
      </c>
      <c r="BX34" s="2" t="s">
        <v>801</v>
      </c>
      <c r="BY34" s="2" t="s">
        <v>1712</v>
      </c>
      <c r="BZ34" s="2" t="s">
        <v>1713</v>
      </c>
      <c r="CA34" s="2" t="s">
        <v>802</v>
      </c>
      <c r="CB34" s="2"/>
      <c r="CC34" s="2"/>
      <c r="CD34" s="2"/>
      <c r="CE34" s="2"/>
      <c r="CF34" s="2"/>
      <c r="CG34" s="2"/>
      <c r="CH34" s="2" t="s">
        <v>121</v>
      </c>
      <c r="CI34" s="2" t="s">
        <v>803</v>
      </c>
      <c r="CJ34" s="2" t="s">
        <v>823</v>
      </c>
      <c r="CK34" s="2" t="s">
        <v>627</v>
      </c>
      <c r="CL34" s="2" t="s">
        <v>160</v>
      </c>
      <c r="CM34" s="2" t="s">
        <v>126</v>
      </c>
      <c r="CN34" s="2"/>
      <c r="CO34" s="2" t="s">
        <v>802</v>
      </c>
      <c r="CP34" s="2" t="s">
        <v>805</v>
      </c>
      <c r="CQ34" s="2" t="s">
        <v>806</v>
      </c>
      <c r="CR34" s="2" t="s">
        <v>1478</v>
      </c>
      <c r="CS34" s="2" t="s">
        <v>1331</v>
      </c>
      <c r="CT34" s="2" t="s">
        <v>130</v>
      </c>
      <c r="CU34" s="2" t="s">
        <v>131</v>
      </c>
    </row>
    <row r="35" spans="1:99" s="1" customFormat="1" ht="11.25">
      <c r="A35" s="28" t="s">
        <v>835</v>
      </c>
      <c r="B35" s="2" t="s">
        <v>99</v>
      </c>
      <c r="C35" s="2" t="b">
        <v>0</v>
      </c>
      <c r="D35" s="2" t="b">
        <v>0</v>
      </c>
      <c r="E35" s="2" t="s">
        <v>100</v>
      </c>
      <c r="F35" s="2" t="s">
        <v>836</v>
      </c>
      <c r="G35" s="2" t="s">
        <v>102</v>
      </c>
      <c r="H35" s="2" t="s">
        <v>103</v>
      </c>
      <c r="I35" s="2" t="s">
        <v>100</v>
      </c>
      <c r="J35" s="2" t="b">
        <v>0</v>
      </c>
      <c r="K35" s="3">
        <v>45926.733391203707</v>
      </c>
      <c r="L35" s="2"/>
      <c r="M35" s="3"/>
      <c r="N35" s="2">
        <v>0</v>
      </c>
      <c r="O35" s="3">
        <v>25568.791666666672</v>
      </c>
      <c r="P35" s="3">
        <v>45928.054386574076</v>
      </c>
      <c r="Q35" s="4">
        <v>4</v>
      </c>
      <c r="R35" s="2" t="s">
        <v>105</v>
      </c>
      <c r="S35" s="4">
        <v>8192</v>
      </c>
      <c r="T35" s="4">
        <v>1146</v>
      </c>
      <c r="U35" s="4">
        <v>3</v>
      </c>
      <c r="V35" s="4">
        <v>1</v>
      </c>
      <c r="W35" s="4">
        <v>512383</v>
      </c>
      <c r="X35" s="2"/>
      <c r="Y35" s="4" t="s">
        <v>229</v>
      </c>
      <c r="Z35" s="2" t="s">
        <v>106</v>
      </c>
      <c r="AA35" s="4"/>
      <c r="AB35" s="2" t="b">
        <v>1</v>
      </c>
      <c r="AC35" s="2" t="b">
        <v>1</v>
      </c>
      <c r="AD35" s="2" t="s">
        <v>1720</v>
      </c>
      <c r="AE35" s="2" t="s">
        <v>1443</v>
      </c>
      <c r="AF35" s="2" t="s">
        <v>1721</v>
      </c>
      <c r="AG35" s="2" t="s">
        <v>233</v>
      </c>
      <c r="AH35" s="2"/>
      <c r="AI35" s="2"/>
      <c r="AJ35" s="2"/>
      <c r="AK35" s="2"/>
      <c r="AL35" s="2"/>
      <c r="AM35" s="4">
        <v>1</v>
      </c>
      <c r="AN35" s="4">
        <v>16384</v>
      </c>
      <c r="AO35" s="2" t="s">
        <v>874</v>
      </c>
      <c r="AP35" s="2" t="s">
        <v>235</v>
      </c>
      <c r="AQ35" s="2" t="s">
        <v>236</v>
      </c>
      <c r="AR35" s="2"/>
      <c r="AS35" s="2" t="b">
        <v>1</v>
      </c>
      <c r="AT35" s="2" t="s">
        <v>113</v>
      </c>
      <c r="AU35" s="4"/>
      <c r="AV35" s="2" t="s">
        <v>104</v>
      </c>
      <c r="AW35" s="4">
        <v>-1</v>
      </c>
      <c r="AX35" s="4">
        <v>-1</v>
      </c>
      <c r="AY35" s="2"/>
      <c r="AZ35" s="4">
        <v>520690</v>
      </c>
      <c r="BA35" s="4">
        <v>520690</v>
      </c>
      <c r="BB35" s="4">
        <v>512383</v>
      </c>
      <c r="BC35" s="2" t="s">
        <v>114</v>
      </c>
      <c r="BD35" s="2" t="s">
        <v>115</v>
      </c>
      <c r="BE35" s="2" t="s">
        <v>116</v>
      </c>
      <c r="BF35" s="2"/>
      <c r="BG35" s="2"/>
      <c r="BH35" s="2" t="b">
        <v>0</v>
      </c>
      <c r="BI35" s="4">
        <v>0</v>
      </c>
      <c r="BJ35" s="4">
        <v>10000</v>
      </c>
      <c r="BK35" s="2" t="b">
        <v>0</v>
      </c>
      <c r="BL35" s="2" t="b">
        <v>0</v>
      </c>
      <c r="BM35" s="2"/>
      <c r="BN35" s="2" t="b">
        <v>0</v>
      </c>
      <c r="BO35" s="2" t="s">
        <v>117</v>
      </c>
      <c r="BP35" s="4">
        <v>19</v>
      </c>
      <c r="BQ35" s="2" t="s">
        <v>115</v>
      </c>
      <c r="BR35" s="2" t="s">
        <v>118</v>
      </c>
      <c r="BS35" s="2"/>
      <c r="BT35" s="2" t="s">
        <v>1722</v>
      </c>
      <c r="BU35" s="2" t="s">
        <v>1723</v>
      </c>
      <c r="BV35" s="2" t="s">
        <v>1723</v>
      </c>
      <c r="BW35" s="2" t="s">
        <v>1723</v>
      </c>
      <c r="BX35" s="2"/>
      <c r="BY35" s="2" t="s">
        <v>1724</v>
      </c>
      <c r="BZ35" s="2" t="s">
        <v>1725</v>
      </c>
      <c r="CA35" s="2" t="s">
        <v>837</v>
      </c>
      <c r="CB35" s="2"/>
      <c r="CC35" s="2"/>
      <c r="CD35" s="2"/>
      <c r="CE35" s="2"/>
      <c r="CF35" s="2"/>
      <c r="CG35" s="2"/>
      <c r="CH35" s="2" t="s">
        <v>121</v>
      </c>
      <c r="CI35" s="2" t="s">
        <v>239</v>
      </c>
      <c r="CJ35" s="2" t="s">
        <v>309</v>
      </c>
      <c r="CK35" s="2" t="s">
        <v>487</v>
      </c>
      <c r="CL35" s="2" t="s">
        <v>487</v>
      </c>
      <c r="CM35" s="2" t="s">
        <v>126</v>
      </c>
      <c r="CN35" s="2"/>
      <c r="CO35" s="2" t="s">
        <v>837</v>
      </c>
      <c r="CP35" s="2" t="s">
        <v>838</v>
      </c>
      <c r="CQ35" s="2" t="s">
        <v>839</v>
      </c>
      <c r="CR35" s="2" t="s">
        <v>1478</v>
      </c>
      <c r="CS35" s="2" t="s">
        <v>1331</v>
      </c>
      <c r="CT35" s="2" t="s">
        <v>130</v>
      </c>
      <c r="CU35" s="2" t="s">
        <v>131</v>
      </c>
    </row>
    <row r="36" spans="1:99" s="1" customFormat="1" ht="11.25">
      <c r="A36" s="28" t="s">
        <v>870</v>
      </c>
      <c r="B36" s="2" t="s">
        <v>99</v>
      </c>
      <c r="C36" s="2" t="b">
        <v>0</v>
      </c>
      <c r="D36" s="2" t="b">
        <v>0</v>
      </c>
      <c r="E36" s="2" t="s">
        <v>100</v>
      </c>
      <c r="F36" s="2" t="s">
        <v>871</v>
      </c>
      <c r="G36" s="2" t="s">
        <v>102</v>
      </c>
      <c r="H36" s="2" t="s">
        <v>103</v>
      </c>
      <c r="I36" s="2" t="s">
        <v>100</v>
      </c>
      <c r="J36" s="2" t="b">
        <v>0</v>
      </c>
      <c r="K36" s="3">
        <v>45773.969525462962</v>
      </c>
      <c r="L36" s="2"/>
      <c r="M36" s="3"/>
      <c r="N36" s="2">
        <v>0</v>
      </c>
      <c r="O36" s="3">
        <v>25568.791666666672</v>
      </c>
      <c r="P36" s="3">
        <v>45922.7265162037</v>
      </c>
      <c r="Q36" s="4">
        <v>4</v>
      </c>
      <c r="R36" s="2" t="s">
        <v>105</v>
      </c>
      <c r="S36" s="4">
        <v>16384</v>
      </c>
      <c r="T36" s="4">
        <v>1638</v>
      </c>
      <c r="U36" s="4">
        <v>3</v>
      </c>
      <c r="V36" s="4">
        <v>3</v>
      </c>
      <c r="W36" s="4">
        <v>1150976</v>
      </c>
      <c r="X36" s="2"/>
      <c r="Y36" s="4" t="s">
        <v>229</v>
      </c>
      <c r="Z36" s="2" t="s">
        <v>106</v>
      </c>
      <c r="AA36" s="4"/>
      <c r="AB36" s="2" t="b">
        <v>1</v>
      </c>
      <c r="AC36" s="2" t="b">
        <v>1</v>
      </c>
      <c r="AD36" s="2" t="s">
        <v>872</v>
      </c>
      <c r="AE36" s="2" t="s">
        <v>873</v>
      </c>
      <c r="AF36" s="2" t="s">
        <v>474</v>
      </c>
      <c r="AG36" s="2" t="s">
        <v>448</v>
      </c>
      <c r="AH36" s="2"/>
      <c r="AI36" s="2"/>
      <c r="AJ36" s="2"/>
      <c r="AK36" s="2"/>
      <c r="AL36" s="2"/>
      <c r="AM36" s="4">
        <v>1</v>
      </c>
      <c r="AN36" s="4">
        <v>16384</v>
      </c>
      <c r="AO36" s="2" t="s">
        <v>1517</v>
      </c>
      <c r="AP36" s="2" t="s">
        <v>144</v>
      </c>
      <c r="AQ36" s="2" t="s">
        <v>145</v>
      </c>
      <c r="AR36" s="2"/>
      <c r="AS36" s="2" t="b">
        <v>1</v>
      </c>
      <c r="AT36" s="2" t="s">
        <v>113</v>
      </c>
      <c r="AU36" s="4"/>
      <c r="AV36" s="2" t="s">
        <v>104</v>
      </c>
      <c r="AW36" s="4">
        <v>-1</v>
      </c>
      <c r="AX36" s="4">
        <v>-1</v>
      </c>
      <c r="AY36" s="2"/>
      <c r="AZ36" s="4">
        <v>1167847</v>
      </c>
      <c r="BA36" s="4">
        <v>1167847</v>
      </c>
      <c r="BB36" s="4">
        <v>1150976</v>
      </c>
      <c r="BC36" s="2" t="s">
        <v>114</v>
      </c>
      <c r="BD36" s="2" t="s">
        <v>115</v>
      </c>
      <c r="BE36" s="2" t="s">
        <v>116</v>
      </c>
      <c r="BF36" s="2"/>
      <c r="BG36" s="2"/>
      <c r="BH36" s="2" t="b">
        <v>0</v>
      </c>
      <c r="BI36" s="4">
        <v>0</v>
      </c>
      <c r="BJ36" s="4">
        <v>10000</v>
      </c>
      <c r="BK36" s="2" t="b">
        <v>0</v>
      </c>
      <c r="BL36" s="2" t="b">
        <v>0</v>
      </c>
      <c r="BM36" s="2"/>
      <c r="BN36" s="2" t="b">
        <v>0</v>
      </c>
      <c r="BO36" s="2" t="s">
        <v>117</v>
      </c>
      <c r="BP36" s="4">
        <v>19</v>
      </c>
      <c r="BQ36" s="2" t="s">
        <v>115</v>
      </c>
      <c r="BR36" s="2" t="s">
        <v>118</v>
      </c>
      <c r="BS36" s="2"/>
      <c r="BT36" s="2" t="s">
        <v>1357</v>
      </c>
      <c r="BU36" s="2" t="s">
        <v>1358</v>
      </c>
      <c r="BV36" s="2" t="s">
        <v>1358</v>
      </c>
      <c r="BW36" s="2" t="s">
        <v>1358</v>
      </c>
      <c r="BX36" s="2" t="s">
        <v>875</v>
      </c>
      <c r="BY36" s="2" t="s">
        <v>1738</v>
      </c>
      <c r="BZ36" s="2" t="s">
        <v>1739</v>
      </c>
      <c r="CA36" s="2" t="s">
        <v>876</v>
      </c>
      <c r="CB36" s="2"/>
      <c r="CC36" s="2"/>
      <c r="CD36" s="2"/>
      <c r="CE36" s="2"/>
      <c r="CF36" s="2"/>
      <c r="CG36" s="2"/>
      <c r="CH36" s="2" t="s">
        <v>121</v>
      </c>
      <c r="CI36" s="2" t="s">
        <v>239</v>
      </c>
      <c r="CJ36" s="2" t="s">
        <v>312</v>
      </c>
      <c r="CK36" s="2" t="s">
        <v>487</v>
      </c>
      <c r="CL36" s="2" t="s">
        <v>487</v>
      </c>
      <c r="CM36" s="2" t="s">
        <v>126</v>
      </c>
      <c r="CN36" s="2"/>
      <c r="CO36" s="2" t="s">
        <v>876</v>
      </c>
      <c r="CP36" s="2" t="s">
        <v>877</v>
      </c>
      <c r="CQ36" s="2" t="s">
        <v>878</v>
      </c>
      <c r="CR36" s="2" t="s">
        <v>1478</v>
      </c>
      <c r="CS36" s="2" t="s">
        <v>1331</v>
      </c>
      <c r="CT36" s="2" t="s">
        <v>130</v>
      </c>
      <c r="CU36" s="2" t="s">
        <v>131</v>
      </c>
    </row>
    <row r="37" spans="1:99" s="1" customFormat="1" ht="11.25">
      <c r="A37" s="28" t="s">
        <v>900</v>
      </c>
      <c r="B37" s="2" t="s">
        <v>99</v>
      </c>
      <c r="C37" s="2" t="b">
        <v>0</v>
      </c>
      <c r="D37" s="2" t="b">
        <v>0</v>
      </c>
      <c r="E37" s="2" t="s">
        <v>100</v>
      </c>
      <c r="F37" s="2" t="s">
        <v>901</v>
      </c>
      <c r="G37" s="2" t="s">
        <v>102</v>
      </c>
      <c r="H37" s="2" t="s">
        <v>103</v>
      </c>
      <c r="I37" s="2" t="s">
        <v>100</v>
      </c>
      <c r="J37" s="2" t="b">
        <v>0</v>
      </c>
      <c r="K37" s="3">
        <v>45776.533101851863</v>
      </c>
      <c r="L37" s="2"/>
      <c r="M37" s="3"/>
      <c r="N37" s="2">
        <v>0</v>
      </c>
      <c r="O37" s="3">
        <v>44036.69568287037</v>
      </c>
      <c r="P37" s="3">
        <v>45928.248287037037</v>
      </c>
      <c r="Q37" s="4">
        <v>2</v>
      </c>
      <c r="R37" s="2" t="s">
        <v>105</v>
      </c>
      <c r="S37" s="4">
        <v>8192</v>
      </c>
      <c r="T37" s="4">
        <v>1064</v>
      </c>
      <c r="U37" s="4">
        <v>3</v>
      </c>
      <c r="V37" s="4">
        <v>3</v>
      </c>
      <c r="W37" s="4">
        <v>225280</v>
      </c>
      <c r="X37" s="2"/>
      <c r="Y37" s="4" t="s">
        <v>791</v>
      </c>
      <c r="Z37" s="2" t="s">
        <v>106</v>
      </c>
      <c r="AA37" s="4"/>
      <c r="AB37" s="2" t="b">
        <v>1</v>
      </c>
      <c r="AC37" s="2" t="b">
        <v>1</v>
      </c>
      <c r="AD37" s="2" t="s">
        <v>902</v>
      </c>
      <c r="AE37" s="2" t="s">
        <v>793</v>
      </c>
      <c r="AF37" s="2" t="s">
        <v>794</v>
      </c>
      <c r="AG37" s="2" t="s">
        <v>795</v>
      </c>
      <c r="AH37" s="2"/>
      <c r="AI37" s="2"/>
      <c r="AJ37" s="2"/>
      <c r="AK37" s="2"/>
      <c r="AL37" s="2"/>
      <c r="AM37" s="4">
        <v>1</v>
      </c>
      <c r="AN37" s="4">
        <v>16384</v>
      </c>
      <c r="AO37" s="2" t="s">
        <v>796</v>
      </c>
      <c r="AP37" s="2" t="s">
        <v>235</v>
      </c>
      <c r="AQ37" s="2" t="s">
        <v>236</v>
      </c>
      <c r="AR37" s="2"/>
      <c r="AS37" s="2" t="b">
        <v>1</v>
      </c>
      <c r="AT37" s="2" t="s">
        <v>113</v>
      </c>
      <c r="AU37" s="4"/>
      <c r="AV37" s="2" t="s">
        <v>104</v>
      </c>
      <c r="AW37" s="4">
        <v>-1</v>
      </c>
      <c r="AX37" s="4">
        <v>-1</v>
      </c>
      <c r="AY37" s="2"/>
      <c r="AZ37" s="4">
        <v>233581</v>
      </c>
      <c r="BA37" s="4">
        <v>233581</v>
      </c>
      <c r="BB37" s="4">
        <v>225280</v>
      </c>
      <c r="BC37" s="2" t="s">
        <v>114</v>
      </c>
      <c r="BD37" s="2" t="s">
        <v>115</v>
      </c>
      <c r="BE37" s="2" t="s">
        <v>116</v>
      </c>
      <c r="BF37" s="2"/>
      <c r="BG37" s="2"/>
      <c r="BH37" s="2" t="b">
        <v>0</v>
      </c>
      <c r="BI37" s="4">
        <v>0</v>
      </c>
      <c r="BJ37" s="4">
        <v>10000</v>
      </c>
      <c r="BK37" s="2" t="b">
        <v>0</v>
      </c>
      <c r="BL37" s="2" t="b">
        <v>0</v>
      </c>
      <c r="BM37" s="2"/>
      <c r="BN37" s="2" t="b">
        <v>0</v>
      </c>
      <c r="BO37" s="2" t="s">
        <v>117</v>
      </c>
      <c r="BP37" s="4">
        <v>15</v>
      </c>
      <c r="BQ37" s="2" t="s">
        <v>115</v>
      </c>
      <c r="BR37" s="2" t="s">
        <v>118</v>
      </c>
      <c r="BS37" s="2"/>
      <c r="BT37" s="2" t="s">
        <v>903</v>
      </c>
      <c r="BU37" s="2" t="s">
        <v>904</v>
      </c>
      <c r="BV37" s="2" t="s">
        <v>904</v>
      </c>
      <c r="BW37" s="2" t="s">
        <v>904</v>
      </c>
      <c r="BX37" s="2" t="s">
        <v>905</v>
      </c>
      <c r="BY37" s="2" t="s">
        <v>1744</v>
      </c>
      <c r="BZ37" s="2" t="s">
        <v>1745</v>
      </c>
      <c r="CA37" s="2" t="s">
        <v>906</v>
      </c>
      <c r="CB37" s="2"/>
      <c r="CC37" s="2"/>
      <c r="CD37" s="2"/>
      <c r="CE37" s="2"/>
      <c r="CF37" s="2"/>
      <c r="CG37" s="2"/>
      <c r="CH37" s="2" t="s">
        <v>121</v>
      </c>
      <c r="CI37" s="2" t="s">
        <v>803</v>
      </c>
      <c r="CJ37" s="2" t="s">
        <v>1356</v>
      </c>
      <c r="CK37" s="2" t="s">
        <v>627</v>
      </c>
      <c r="CL37" s="2" t="s">
        <v>160</v>
      </c>
      <c r="CM37" s="2" t="s">
        <v>126</v>
      </c>
      <c r="CN37" s="2"/>
      <c r="CO37" s="2" t="s">
        <v>906</v>
      </c>
      <c r="CP37" s="2" t="s">
        <v>907</v>
      </c>
      <c r="CQ37" s="2" t="s">
        <v>908</v>
      </c>
      <c r="CR37" s="2" t="s">
        <v>1478</v>
      </c>
      <c r="CS37" s="2" t="s">
        <v>1331</v>
      </c>
      <c r="CT37" s="2" t="s">
        <v>130</v>
      </c>
      <c r="CU37" s="2" t="s">
        <v>131</v>
      </c>
    </row>
    <row r="38" spans="1:99" s="1" customFormat="1" ht="11.25">
      <c r="A38" s="28" t="s">
        <v>970</v>
      </c>
      <c r="B38" s="2" t="s">
        <v>99</v>
      </c>
      <c r="C38" s="2" t="b">
        <v>0</v>
      </c>
      <c r="D38" s="2" t="b">
        <v>0</v>
      </c>
      <c r="E38" s="2" t="s">
        <v>100</v>
      </c>
      <c r="F38" s="2" t="s">
        <v>971</v>
      </c>
      <c r="G38" s="2" t="s">
        <v>102</v>
      </c>
      <c r="H38" s="2" t="s">
        <v>103</v>
      </c>
      <c r="I38" s="2" t="s">
        <v>100</v>
      </c>
      <c r="J38" s="2" t="b">
        <v>0</v>
      </c>
      <c r="K38" s="3">
        <v>45857.875590277778</v>
      </c>
      <c r="L38" s="2"/>
      <c r="M38" s="3"/>
      <c r="N38" s="2">
        <v>0</v>
      </c>
      <c r="O38" s="3">
        <v>44452.936099537037</v>
      </c>
      <c r="P38" s="3">
        <v>45930.401192129633</v>
      </c>
      <c r="Q38" s="4">
        <v>4</v>
      </c>
      <c r="R38" s="2" t="s">
        <v>105</v>
      </c>
      <c r="S38" s="4">
        <v>12288</v>
      </c>
      <c r="T38" s="4">
        <v>2088</v>
      </c>
      <c r="U38" s="4">
        <v>3</v>
      </c>
      <c r="V38" s="4">
        <v>3</v>
      </c>
      <c r="W38" s="4">
        <v>204800</v>
      </c>
      <c r="X38" s="2"/>
      <c r="Y38" s="4" t="s">
        <v>791</v>
      </c>
      <c r="Z38" s="2" t="s">
        <v>106</v>
      </c>
      <c r="AA38" s="4"/>
      <c r="AB38" s="2" t="b">
        <v>1</v>
      </c>
      <c r="AC38" s="2" t="b">
        <v>1</v>
      </c>
      <c r="AD38" s="2" t="s">
        <v>972</v>
      </c>
      <c r="AE38" s="2" t="s">
        <v>963</v>
      </c>
      <c r="AF38" s="2" t="s">
        <v>623</v>
      </c>
      <c r="AG38" s="2" t="s">
        <v>537</v>
      </c>
      <c r="AH38" s="2"/>
      <c r="AI38" s="2"/>
      <c r="AJ38" s="2"/>
      <c r="AK38" s="2"/>
      <c r="AL38" s="2"/>
      <c r="AM38" s="4">
        <v>1</v>
      </c>
      <c r="AN38" s="4">
        <v>16384</v>
      </c>
      <c r="AO38" s="2" t="s">
        <v>482</v>
      </c>
      <c r="AP38" s="2" t="s">
        <v>144</v>
      </c>
      <c r="AQ38" s="2" t="s">
        <v>145</v>
      </c>
      <c r="AR38" s="2"/>
      <c r="AS38" s="2" t="b">
        <v>1</v>
      </c>
      <c r="AT38" s="2" t="s">
        <v>113</v>
      </c>
      <c r="AU38" s="4"/>
      <c r="AV38" s="2" t="s">
        <v>104</v>
      </c>
      <c r="AW38" s="4">
        <v>-1</v>
      </c>
      <c r="AX38" s="4">
        <v>-1</v>
      </c>
      <c r="AY38" s="2"/>
      <c r="AZ38" s="4">
        <v>217198</v>
      </c>
      <c r="BA38" s="4">
        <v>217198</v>
      </c>
      <c r="BB38" s="4">
        <v>204800</v>
      </c>
      <c r="BC38" s="2" t="s">
        <v>114</v>
      </c>
      <c r="BD38" s="2" t="s">
        <v>115</v>
      </c>
      <c r="BE38" s="2" t="s">
        <v>116</v>
      </c>
      <c r="BF38" s="2"/>
      <c r="BG38" s="2"/>
      <c r="BH38" s="2" t="b">
        <v>0</v>
      </c>
      <c r="BI38" s="4">
        <v>0</v>
      </c>
      <c r="BJ38" s="4">
        <v>10000</v>
      </c>
      <c r="BK38" s="2" t="b">
        <v>0</v>
      </c>
      <c r="BL38" s="2" t="b">
        <v>0</v>
      </c>
      <c r="BM38" s="2"/>
      <c r="BN38" s="2" t="b">
        <v>0</v>
      </c>
      <c r="BO38" s="2" t="s">
        <v>117</v>
      </c>
      <c r="BP38" s="4">
        <v>19</v>
      </c>
      <c r="BQ38" s="2" t="s">
        <v>115</v>
      </c>
      <c r="BR38" s="2" t="s">
        <v>118</v>
      </c>
      <c r="BS38" s="2"/>
      <c r="BT38" s="2" t="s">
        <v>973</v>
      </c>
      <c r="BU38" s="2" t="s">
        <v>974</v>
      </c>
      <c r="BV38" s="2" t="s">
        <v>974</v>
      </c>
      <c r="BW38" s="2" t="s">
        <v>974</v>
      </c>
      <c r="BX38" s="2"/>
      <c r="BY38" s="2" t="s">
        <v>1768</v>
      </c>
      <c r="BZ38" s="2" t="s">
        <v>1769</v>
      </c>
      <c r="CA38" s="2" t="s">
        <v>975</v>
      </c>
      <c r="CB38" s="2"/>
      <c r="CC38" s="2"/>
      <c r="CD38" s="2"/>
      <c r="CE38" s="2"/>
      <c r="CF38" s="2"/>
      <c r="CG38" s="2"/>
      <c r="CH38" s="2" t="s">
        <v>121</v>
      </c>
      <c r="CI38" s="2" t="s">
        <v>486</v>
      </c>
      <c r="CJ38" s="2" t="s">
        <v>847</v>
      </c>
      <c r="CK38" s="2" t="s">
        <v>160</v>
      </c>
      <c r="CL38" s="2" t="s">
        <v>160</v>
      </c>
      <c r="CM38" s="2" t="s">
        <v>126</v>
      </c>
      <c r="CN38" s="2"/>
      <c r="CO38" s="2" t="s">
        <v>975</v>
      </c>
      <c r="CP38" s="2" t="s">
        <v>976</v>
      </c>
      <c r="CQ38" s="2" t="s">
        <v>977</v>
      </c>
      <c r="CR38" s="2" t="s">
        <v>1478</v>
      </c>
      <c r="CS38" s="2" t="s">
        <v>1331</v>
      </c>
      <c r="CT38" s="2" t="s">
        <v>130</v>
      </c>
      <c r="CU38" s="2" t="s">
        <v>131</v>
      </c>
    </row>
    <row r="39" spans="1:99" s="1" customFormat="1" ht="11.25">
      <c r="A39" s="28" t="s">
        <v>996</v>
      </c>
      <c r="B39" s="2" t="s">
        <v>99</v>
      </c>
      <c r="C39" s="2" t="b">
        <v>0</v>
      </c>
      <c r="D39" s="2" t="b">
        <v>0</v>
      </c>
      <c r="E39" s="2" t="s">
        <v>100</v>
      </c>
      <c r="F39" s="2" t="s">
        <v>997</v>
      </c>
      <c r="G39" s="2" t="s">
        <v>102</v>
      </c>
      <c r="H39" s="2" t="s">
        <v>103</v>
      </c>
      <c r="I39" s="2" t="s">
        <v>100</v>
      </c>
      <c r="J39" s="2" t="b">
        <v>0</v>
      </c>
      <c r="K39" s="3">
        <v>45877.907557870371</v>
      </c>
      <c r="L39" s="2"/>
      <c r="M39" s="3"/>
      <c r="N39" s="2">
        <v>0</v>
      </c>
      <c r="O39" s="3">
        <v>44972.499664351853</v>
      </c>
      <c r="P39" s="3">
        <v>45931.06322916667</v>
      </c>
      <c r="Q39" s="4">
        <v>4</v>
      </c>
      <c r="R39" s="2" t="s">
        <v>105</v>
      </c>
      <c r="S39" s="4">
        <v>16384</v>
      </c>
      <c r="T39" s="4">
        <v>1146</v>
      </c>
      <c r="U39" s="4">
        <v>3</v>
      </c>
      <c r="V39" s="4">
        <v>3</v>
      </c>
      <c r="W39" s="4">
        <v>327680</v>
      </c>
      <c r="X39" s="2"/>
      <c r="Y39" s="4" t="s">
        <v>1340</v>
      </c>
      <c r="Z39" s="2" t="s">
        <v>106</v>
      </c>
      <c r="AA39" s="4"/>
      <c r="AB39" s="2" t="b">
        <v>1</v>
      </c>
      <c r="AC39" s="2" t="b">
        <v>1</v>
      </c>
      <c r="AD39" s="2" t="s">
        <v>998</v>
      </c>
      <c r="AE39" s="2" t="s">
        <v>981</v>
      </c>
      <c r="AF39" s="2" t="s">
        <v>109</v>
      </c>
      <c r="AG39" s="2" t="s">
        <v>110</v>
      </c>
      <c r="AH39" s="2"/>
      <c r="AI39" s="2"/>
      <c r="AJ39" s="2"/>
      <c r="AK39" s="2"/>
      <c r="AL39" s="2"/>
      <c r="AM39" s="4">
        <v>1</v>
      </c>
      <c r="AN39" s="4">
        <v>8192</v>
      </c>
      <c r="AO39" s="2" t="s">
        <v>1392</v>
      </c>
      <c r="AP39" s="2" t="s">
        <v>235</v>
      </c>
      <c r="AQ39" s="2" t="s">
        <v>236</v>
      </c>
      <c r="AR39" s="2"/>
      <c r="AS39" s="2" t="b">
        <v>1</v>
      </c>
      <c r="AT39" s="2" t="s">
        <v>113</v>
      </c>
      <c r="AU39" s="4"/>
      <c r="AV39" s="2" t="s">
        <v>104</v>
      </c>
      <c r="AW39" s="4">
        <v>-1</v>
      </c>
      <c r="AX39" s="4">
        <v>-1</v>
      </c>
      <c r="AY39" s="2"/>
      <c r="AZ39" s="4">
        <v>344170</v>
      </c>
      <c r="BA39" s="4">
        <v>344170</v>
      </c>
      <c r="BB39" s="4">
        <v>327680</v>
      </c>
      <c r="BC39" s="2" t="s">
        <v>114</v>
      </c>
      <c r="BD39" s="2" t="s">
        <v>115</v>
      </c>
      <c r="BE39" s="2" t="s">
        <v>116</v>
      </c>
      <c r="BF39" s="2"/>
      <c r="BG39" s="2"/>
      <c r="BH39" s="2" t="b">
        <v>0</v>
      </c>
      <c r="BI39" s="4">
        <v>0</v>
      </c>
      <c r="BJ39" s="4">
        <v>10000</v>
      </c>
      <c r="BK39" s="2" t="b">
        <v>0</v>
      </c>
      <c r="BL39" s="2" t="b">
        <v>0</v>
      </c>
      <c r="BM39" s="2"/>
      <c r="BN39" s="2" t="b">
        <v>1</v>
      </c>
      <c r="BO39" s="2" t="s">
        <v>176</v>
      </c>
      <c r="BP39" s="4">
        <v>19</v>
      </c>
      <c r="BQ39" s="2" t="s">
        <v>115</v>
      </c>
      <c r="BR39" s="2" t="s">
        <v>118</v>
      </c>
      <c r="BS39" s="2"/>
      <c r="BT39" s="2" t="s">
        <v>999</v>
      </c>
      <c r="BU39" s="2" t="s">
        <v>1000</v>
      </c>
      <c r="BV39" s="2" t="s">
        <v>1000</v>
      </c>
      <c r="BW39" s="2" t="s">
        <v>1000</v>
      </c>
      <c r="BX39" s="2" t="s">
        <v>179</v>
      </c>
      <c r="BY39" s="2" t="s">
        <v>1774</v>
      </c>
      <c r="BZ39" s="2" t="s">
        <v>1775</v>
      </c>
      <c r="CA39" s="2" t="s">
        <v>1001</v>
      </c>
      <c r="CB39" s="2"/>
      <c r="CC39" s="2"/>
      <c r="CD39" s="2" t="s">
        <v>984</v>
      </c>
      <c r="CE39" s="2"/>
      <c r="CF39" s="2"/>
      <c r="CG39" s="2"/>
      <c r="CH39" s="2" t="s">
        <v>121</v>
      </c>
      <c r="CI39" s="2" t="s">
        <v>122</v>
      </c>
      <c r="CJ39" s="2" t="s">
        <v>1385</v>
      </c>
      <c r="CK39" s="2" t="s">
        <v>160</v>
      </c>
      <c r="CL39" s="2" t="s">
        <v>160</v>
      </c>
      <c r="CM39" s="2" t="s">
        <v>126</v>
      </c>
      <c r="CN39" s="2"/>
      <c r="CO39" s="2" t="s">
        <v>1001</v>
      </c>
      <c r="CP39" s="2" t="s">
        <v>1002</v>
      </c>
      <c r="CQ39" s="2" t="s">
        <v>1003</v>
      </c>
      <c r="CR39" s="2" t="s">
        <v>1478</v>
      </c>
      <c r="CS39" s="2" t="s">
        <v>1331</v>
      </c>
      <c r="CT39" s="2" t="s">
        <v>130</v>
      </c>
      <c r="CU39" s="2" t="s">
        <v>131</v>
      </c>
    </row>
    <row r="40" spans="1:99" s="1" customFormat="1" ht="11.25">
      <c r="A40" s="28" t="s">
        <v>1004</v>
      </c>
      <c r="B40" s="2" t="s">
        <v>99</v>
      </c>
      <c r="C40" s="2" t="b">
        <v>0</v>
      </c>
      <c r="D40" s="2" t="b">
        <v>0</v>
      </c>
      <c r="E40" s="2" t="s">
        <v>100</v>
      </c>
      <c r="F40" s="2" t="s">
        <v>1005</v>
      </c>
      <c r="G40" s="2" t="s">
        <v>102</v>
      </c>
      <c r="H40" s="2" t="s">
        <v>103</v>
      </c>
      <c r="I40" s="2" t="s">
        <v>100</v>
      </c>
      <c r="J40" s="2" t="b">
        <v>0</v>
      </c>
      <c r="K40" s="3">
        <v>45774.084780092591</v>
      </c>
      <c r="L40" s="2"/>
      <c r="M40" s="3"/>
      <c r="N40" s="2">
        <v>0</v>
      </c>
      <c r="O40" s="3">
        <v>44970.700520833343</v>
      </c>
      <c r="P40" s="3">
        <v>45930.63517361111</v>
      </c>
      <c r="Q40" s="4">
        <v>8</v>
      </c>
      <c r="R40" s="2" t="s">
        <v>105</v>
      </c>
      <c r="S40" s="4">
        <v>30720</v>
      </c>
      <c r="T40" s="4">
        <v>7680</v>
      </c>
      <c r="U40" s="4">
        <v>4</v>
      </c>
      <c r="V40" s="4">
        <v>4</v>
      </c>
      <c r="W40" s="4">
        <v>822272</v>
      </c>
      <c r="X40" s="2"/>
      <c r="Y40" s="4" t="s">
        <v>1340</v>
      </c>
      <c r="Z40" s="2" t="s">
        <v>106</v>
      </c>
      <c r="AA40" s="4"/>
      <c r="AB40" s="2"/>
      <c r="AC40" s="2" t="b">
        <v>1</v>
      </c>
      <c r="AD40" s="2" t="s">
        <v>1006</v>
      </c>
      <c r="AE40" s="2" t="s">
        <v>981</v>
      </c>
      <c r="AF40" s="2" t="s">
        <v>109</v>
      </c>
      <c r="AG40" s="2" t="s">
        <v>110</v>
      </c>
      <c r="AH40" s="2" t="s">
        <v>1007</v>
      </c>
      <c r="AI40" s="2"/>
      <c r="AJ40" s="2"/>
      <c r="AK40" s="2"/>
      <c r="AL40" s="2"/>
      <c r="AM40" s="4">
        <v>1</v>
      </c>
      <c r="AN40" s="4">
        <v>4096</v>
      </c>
      <c r="AO40" s="2" t="s">
        <v>1392</v>
      </c>
      <c r="AP40" s="2" t="s">
        <v>235</v>
      </c>
      <c r="AQ40" s="2" t="s">
        <v>236</v>
      </c>
      <c r="AR40" s="2"/>
      <c r="AS40" s="2" t="b">
        <v>1</v>
      </c>
      <c r="AT40" s="2" t="s">
        <v>113</v>
      </c>
      <c r="AU40" s="4"/>
      <c r="AV40" s="2" t="s">
        <v>104</v>
      </c>
      <c r="AW40" s="4">
        <v>-1</v>
      </c>
      <c r="AX40" s="4">
        <v>-1</v>
      </c>
      <c r="AY40" s="2"/>
      <c r="AZ40" s="4">
        <v>853113</v>
      </c>
      <c r="BA40" s="4">
        <v>853113</v>
      </c>
      <c r="BB40" s="4">
        <v>822272</v>
      </c>
      <c r="BC40" s="2" t="s">
        <v>114</v>
      </c>
      <c r="BD40" s="2" t="s">
        <v>115</v>
      </c>
      <c r="BE40" s="2" t="s">
        <v>116</v>
      </c>
      <c r="BF40" s="2"/>
      <c r="BG40" s="2"/>
      <c r="BH40" s="2" t="b">
        <v>0</v>
      </c>
      <c r="BI40" s="4">
        <v>0</v>
      </c>
      <c r="BJ40" s="4">
        <v>10000</v>
      </c>
      <c r="BK40" s="2" t="b">
        <v>0</v>
      </c>
      <c r="BL40" s="2" t="b">
        <v>0</v>
      </c>
      <c r="BM40" s="2"/>
      <c r="BN40" s="2" t="b">
        <v>0</v>
      </c>
      <c r="BO40" s="2" t="s">
        <v>117</v>
      </c>
      <c r="BP40" s="4">
        <v>19</v>
      </c>
      <c r="BQ40" s="2" t="s">
        <v>115</v>
      </c>
      <c r="BR40" s="2" t="s">
        <v>118</v>
      </c>
      <c r="BS40" s="2"/>
      <c r="BT40" s="2" t="s">
        <v>1296</v>
      </c>
      <c r="BU40" s="2" t="s">
        <v>1297</v>
      </c>
      <c r="BV40" s="2" t="s">
        <v>1297</v>
      </c>
      <c r="BW40" s="2" t="s">
        <v>1297</v>
      </c>
      <c r="BX40" s="2"/>
      <c r="BY40" s="2" t="s">
        <v>1776</v>
      </c>
      <c r="BZ40" s="2" t="s">
        <v>1777</v>
      </c>
      <c r="CA40" s="2" t="s">
        <v>1008</v>
      </c>
      <c r="CB40" s="2"/>
      <c r="CC40" s="2"/>
      <c r="CD40" s="2"/>
      <c r="CE40" s="2"/>
      <c r="CF40" s="2"/>
      <c r="CG40" s="2"/>
      <c r="CH40" s="2" t="s">
        <v>121</v>
      </c>
      <c r="CI40" s="2" t="s">
        <v>122</v>
      </c>
      <c r="CJ40" s="2" t="s">
        <v>1385</v>
      </c>
      <c r="CK40" s="2" t="s">
        <v>320</v>
      </c>
      <c r="CL40" s="2" t="s">
        <v>320</v>
      </c>
      <c r="CM40" s="2" t="s">
        <v>126</v>
      </c>
      <c r="CN40" s="2"/>
      <c r="CO40" s="2" t="s">
        <v>1008</v>
      </c>
      <c r="CP40" s="2" t="s">
        <v>1009</v>
      </c>
      <c r="CQ40" s="2" t="s">
        <v>1010</v>
      </c>
      <c r="CR40" s="2" t="s">
        <v>1478</v>
      </c>
      <c r="CS40" s="2" t="s">
        <v>1331</v>
      </c>
      <c r="CT40" s="2" t="s">
        <v>130</v>
      </c>
      <c r="CU40" s="2" t="s">
        <v>131</v>
      </c>
    </row>
    <row r="41" spans="1:99" s="1" customFormat="1" ht="11.25">
      <c r="A41" s="28" t="s">
        <v>1011</v>
      </c>
      <c r="B41" s="2" t="s">
        <v>99</v>
      </c>
      <c r="C41" s="2" t="b">
        <v>0</v>
      </c>
      <c r="D41" s="2" t="b">
        <v>0</v>
      </c>
      <c r="E41" s="2" t="s">
        <v>100</v>
      </c>
      <c r="F41" s="2" t="s">
        <v>1012</v>
      </c>
      <c r="G41" s="2" t="s">
        <v>102</v>
      </c>
      <c r="H41" s="2" t="s">
        <v>103</v>
      </c>
      <c r="I41" s="2" t="s">
        <v>100</v>
      </c>
      <c r="J41" s="2" t="b">
        <v>0</v>
      </c>
      <c r="K41" s="3">
        <v>45911.557696759257</v>
      </c>
      <c r="L41" s="2"/>
      <c r="M41" s="3"/>
      <c r="N41" s="2">
        <v>0</v>
      </c>
      <c r="O41" s="3">
        <v>44970.533506944441</v>
      </c>
      <c r="P41" s="3">
        <v>45931.06322916667</v>
      </c>
      <c r="Q41" s="4">
        <v>4</v>
      </c>
      <c r="R41" s="2" t="s">
        <v>105</v>
      </c>
      <c r="S41" s="4">
        <v>12288</v>
      </c>
      <c r="T41" s="4">
        <v>1597</v>
      </c>
      <c r="U41" s="4">
        <v>3</v>
      </c>
      <c r="V41" s="4">
        <v>3</v>
      </c>
      <c r="W41" s="4">
        <v>327680</v>
      </c>
      <c r="X41" s="2"/>
      <c r="Y41" s="4" t="s">
        <v>1340</v>
      </c>
      <c r="Z41" s="2" t="s">
        <v>106</v>
      </c>
      <c r="AA41" s="4"/>
      <c r="AB41" s="2" t="b">
        <v>1</v>
      </c>
      <c r="AC41" s="2" t="b">
        <v>1</v>
      </c>
      <c r="AD41" s="2" t="s">
        <v>1013</v>
      </c>
      <c r="AE41" s="2" t="s">
        <v>981</v>
      </c>
      <c r="AF41" s="2" t="s">
        <v>109</v>
      </c>
      <c r="AG41" s="2" t="s">
        <v>110</v>
      </c>
      <c r="AH41" s="2"/>
      <c r="AI41" s="2"/>
      <c r="AJ41" s="2"/>
      <c r="AK41" s="2"/>
      <c r="AL41" s="2"/>
      <c r="AM41" s="4">
        <v>1</v>
      </c>
      <c r="AN41" s="4">
        <v>8192</v>
      </c>
      <c r="AO41" s="2" t="s">
        <v>1392</v>
      </c>
      <c r="AP41" s="2" t="s">
        <v>235</v>
      </c>
      <c r="AQ41" s="2" t="s">
        <v>236</v>
      </c>
      <c r="AR41" s="2"/>
      <c r="AS41" s="2" t="b">
        <v>1</v>
      </c>
      <c r="AT41" s="2" t="s">
        <v>113</v>
      </c>
      <c r="AU41" s="4"/>
      <c r="AV41" s="2" t="s">
        <v>104</v>
      </c>
      <c r="AW41" s="4">
        <v>-1</v>
      </c>
      <c r="AX41" s="4">
        <v>-1</v>
      </c>
      <c r="AY41" s="2"/>
      <c r="AZ41" s="4">
        <v>340074</v>
      </c>
      <c r="BA41" s="4">
        <v>340074</v>
      </c>
      <c r="BB41" s="4">
        <v>327680</v>
      </c>
      <c r="BC41" s="2" t="s">
        <v>114</v>
      </c>
      <c r="BD41" s="2" t="s">
        <v>115</v>
      </c>
      <c r="BE41" s="2" t="s">
        <v>116</v>
      </c>
      <c r="BF41" s="2"/>
      <c r="BG41" s="2"/>
      <c r="BH41" s="2" t="b">
        <v>0</v>
      </c>
      <c r="BI41" s="4">
        <v>0</v>
      </c>
      <c r="BJ41" s="4">
        <v>10000</v>
      </c>
      <c r="BK41" s="2" t="b">
        <v>0</v>
      </c>
      <c r="BL41" s="2" t="b">
        <v>0</v>
      </c>
      <c r="BM41" s="2"/>
      <c r="BN41" s="2" t="b">
        <v>1</v>
      </c>
      <c r="BO41" s="2" t="s">
        <v>176</v>
      </c>
      <c r="BP41" s="4">
        <v>19</v>
      </c>
      <c r="BQ41" s="2" t="s">
        <v>115</v>
      </c>
      <c r="BR41" s="2" t="s">
        <v>118</v>
      </c>
      <c r="BS41" s="2"/>
      <c r="BT41" s="2" t="s">
        <v>1014</v>
      </c>
      <c r="BU41" s="2" t="s">
        <v>1015</v>
      </c>
      <c r="BV41" s="2" t="s">
        <v>1015</v>
      </c>
      <c r="BW41" s="2" t="s">
        <v>1015</v>
      </c>
      <c r="BX41" s="2" t="s">
        <v>179</v>
      </c>
      <c r="BY41" s="2" t="s">
        <v>1778</v>
      </c>
      <c r="BZ41" s="2" t="s">
        <v>1779</v>
      </c>
      <c r="CA41" s="2" t="s">
        <v>1016</v>
      </c>
      <c r="CB41" s="2"/>
      <c r="CC41" s="2"/>
      <c r="CD41" s="2" t="s">
        <v>984</v>
      </c>
      <c r="CE41" s="2"/>
      <c r="CF41" s="2"/>
      <c r="CG41" s="2"/>
      <c r="CH41" s="2" t="s">
        <v>121</v>
      </c>
      <c r="CI41" s="2" t="s">
        <v>122</v>
      </c>
      <c r="CJ41" s="2" t="s">
        <v>200</v>
      </c>
      <c r="CK41" s="2" t="s">
        <v>160</v>
      </c>
      <c r="CL41" s="2" t="s">
        <v>160</v>
      </c>
      <c r="CM41" s="2" t="s">
        <v>126</v>
      </c>
      <c r="CN41" s="2"/>
      <c r="CO41" s="2" t="s">
        <v>1016</v>
      </c>
      <c r="CP41" s="2" t="s">
        <v>1017</v>
      </c>
      <c r="CQ41" s="2" t="s">
        <v>1018</v>
      </c>
      <c r="CR41" s="2" t="s">
        <v>1478</v>
      </c>
      <c r="CS41" s="2" t="s">
        <v>1331</v>
      </c>
      <c r="CT41" s="2" t="s">
        <v>130</v>
      </c>
      <c r="CU41" s="2" t="s">
        <v>131</v>
      </c>
    </row>
    <row r="42" spans="1:99">
      <c r="W42" s="7">
        <f>SUM(W26:W41)</f>
        <v>14202239</v>
      </c>
    </row>
    <row r="43" spans="1:99">
      <c r="W43" s="6"/>
    </row>
    <row r="45" spans="1:99">
      <c r="W45" s="6">
        <f>W42+W22</f>
        <v>23360895</v>
      </c>
    </row>
    <row r="46" spans="1:99">
      <c r="W46">
        <f>W45/1024</f>
        <v>22813.3740234375</v>
      </c>
    </row>
    <row r="47" spans="1:99">
      <c r="W47" s="5">
        <f>W46/1024</f>
        <v>22.278685569763184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CAB0-92D6-45B0-B9E5-696C3D3E51F5}">
  <dimension ref="A1"/>
  <sheetViews>
    <sheetView workbookViewId="0">
      <selection activeCell="J11" sqref="J11"/>
    </sheetView>
  </sheetViews>
  <sheetFormatPr baseColWidth="10"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6C4465-2D5D-4633-A963-8AE84217F6B2}"/>
</file>

<file path=customXml/itemProps2.xml><?xml version="1.0" encoding="utf-8"?>
<ds:datastoreItem xmlns:ds="http://schemas.openxmlformats.org/officeDocument/2006/customXml" ds:itemID="{D758A64E-04FC-411D-BFF7-15B4BFACBAF8}"/>
</file>

<file path=customXml/itemProps3.xml><?xml version="1.0" encoding="utf-8"?>
<ds:datastoreItem xmlns:ds="http://schemas.openxmlformats.org/officeDocument/2006/customXml" ds:itemID="{702D7460-64AE-415B-9F84-1572B954B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</vt:lpstr>
      <vt:lpstr>Triara MV</vt:lpstr>
      <vt:lpstr>Megacenter</vt:lpstr>
      <vt:lpstr>Contratado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Ingrith Johana Sandoval Bermudez</dc:creator>
  <cp:lastModifiedBy>Ingrith Johana Sandoval Bermudez</cp:lastModifiedBy>
  <dcterms:created xsi:type="dcterms:W3CDTF">2025-03-13T17:10:31Z</dcterms:created>
  <dcterms:modified xsi:type="dcterms:W3CDTF">2025-10-16T21:40:03Z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2025-03-13T17:25:41Z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d2b69e37-1b54-4856-982b-b3a695a994cb</vt:lpwstr>
  </property>
  <property fmtid="{D5CDD505-2E9C-101B-9397-08002B2CF9AE}" pid="8" name="MSIP_Label_5bdf07b2-0175-4a85-af11-305389ad5d4d_ContentBits">
    <vt:lpwstr>2</vt:lpwstr>
  </property>
  <property fmtid="{D5CDD505-2E9C-101B-9397-08002B2CF9AE}" pid="9" name="MSIP_Label_5bdf07b2-0175-4a85-af11-305389ad5d4d_Tag">
    <vt:lpwstr>10, 3, 0, 1</vt:lpwstr>
  </property>
  <property fmtid="{D5CDD505-2E9C-101B-9397-08002B2CF9AE}" pid="10" name="ContentTypeId">
    <vt:lpwstr>0x0101004381C1B945A4B048B0F7A8FB4D3DCE8A</vt:lpwstr>
  </property>
</Properties>
</file>