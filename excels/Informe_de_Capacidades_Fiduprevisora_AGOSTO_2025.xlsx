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Agosto 2025/"/>
    </mc:Choice>
  </mc:AlternateContent>
  <xr:revisionPtr revIDLastSave="62" documentId="8_{72235673-0B3F-4366-87DF-D0098358D245}" xr6:coauthVersionLast="47" xr6:coauthVersionMax="47" xr10:uidLastSave="{103D11B1-F870-4C5A-884E-2641BE5AA90D}"/>
  <bookViews>
    <workbookView xWindow="-120" yWindow="-120" windowWidth="20730" windowHeight="11160" xr2:uid="{DB9E1013-D579-43C5-81A2-5604D8711EEF}"/>
  </bookViews>
  <sheets>
    <sheet name="Tabla" sheetId="9" r:id="rId1"/>
    <sheet name="Triara MV" sheetId="8" r:id="rId2"/>
    <sheet name="Megacenter" sheetId="3" r:id="rId3"/>
    <sheet name="Contratado" sheetId="5" r:id="rId4"/>
  </sheets>
  <definedNames>
    <definedName name="_xlnm._FilterDatabase" localSheetId="1" hidden="1">'Triara MV'!$A$1:$DK$147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8" i="8" l="1"/>
  <c r="X149" i="8" s="1"/>
  <c r="X150" i="8" s="1"/>
  <c r="T148" i="8"/>
  <c r="T149" i="8" s="1"/>
  <c r="R148" i="8"/>
  <c r="E24" i="9"/>
  <c r="D24" i="9"/>
  <c r="C24" i="9"/>
  <c r="F18" i="9"/>
  <c r="F19" i="9" s="1"/>
  <c r="F20" i="9" s="1"/>
  <c r="F21" i="9" s="1"/>
  <c r="F25" i="9" s="1"/>
  <c r="E18" i="9"/>
  <c r="E19" i="9" s="1"/>
  <c r="E20" i="9" s="1"/>
  <c r="D18" i="9"/>
  <c r="D19" i="9" s="1"/>
  <c r="D20" i="9" s="1"/>
  <c r="C18" i="9"/>
  <c r="C19" i="9" s="1"/>
  <c r="F5" i="9"/>
  <c r="F6" i="9" s="1"/>
  <c r="F7" i="9" s="1"/>
  <c r="E5" i="9"/>
  <c r="E6" i="9" s="1"/>
  <c r="E7" i="9" s="1"/>
  <c r="E8" i="9" s="1"/>
  <c r="D5" i="9"/>
  <c r="D6" i="9" s="1"/>
  <c r="D7" i="9" s="1"/>
  <c r="D8" i="9" s="1"/>
  <c r="C5" i="9"/>
  <c r="C6" i="9" s="1"/>
  <c r="D21" i="9" l="1"/>
  <c r="D25" i="9" s="1"/>
  <c r="E21" i="9"/>
  <c r="E25" i="9" s="1"/>
  <c r="C20" i="9"/>
  <c r="C21" i="9" s="1"/>
  <c r="C25" i="9" s="1"/>
  <c r="D12" i="9"/>
  <c r="E12" i="9"/>
  <c r="F8" i="9"/>
  <c r="F12" i="9" s="1"/>
  <c r="C7" i="9"/>
  <c r="C8" i="9" s="1"/>
  <c r="C12" i="9" s="1"/>
  <c r="D13" i="9"/>
  <c r="C26" i="9"/>
  <c r="D26" i="9"/>
  <c r="E26" i="9"/>
  <c r="F26" i="9"/>
  <c r="E13" i="9"/>
  <c r="F13" i="9"/>
  <c r="C13" i="9"/>
  <c r="S22" i="3"/>
  <c r="Q22" i="3"/>
  <c r="W22" i="3"/>
  <c r="W42" i="3"/>
  <c r="W45" i="3" l="1"/>
  <c r="W46" i="3" s="1"/>
  <c r="W47" i="3" s="1"/>
</calcChain>
</file>

<file path=xl/sharedStrings.xml><?xml version="1.0" encoding="utf-8"?>
<sst xmlns="http://schemas.openxmlformats.org/spreadsheetml/2006/main" count="8478" uniqueCount="2092">
  <si>
    <t>TABLA DE RECURSOS - DATACENTER PRINCIPAL IAAS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</si>
  <si>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</si>
  <si>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</si>
  <si>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</si>
  <si>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</si>
  <si>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</si>
  <si>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</si>
  <si>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</si>
  <si>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+ adición 2024</t>
  </si>
  <si>
    <t>Incremento Julio 2025 del 5%</t>
  </si>
  <si>
    <t>Total Capacidades IaaS -  Anexo 7 + adición 2024 + adición 2025</t>
  </si>
  <si>
    <t>Recursos IaaS aprovisionados</t>
  </si>
  <si>
    <t>Colocation</t>
  </si>
  <si>
    <t>Total Capacidades Aprovisionadas IAAS</t>
  </si>
  <si>
    <t>TOTAL RECURSOS DISPONIBLES</t>
  </si>
  <si>
    <t>PORCENTAJE DE OCUPACIÓN</t>
  </si>
  <si>
    <t>TABLA DE RECURSOS - DATACENTER DE CONTINGENCIA MEGACENTER</t>
  </si>
  <si>
    <t>Total Capacidades IaaS -  Anexo 7 + adicion 2024</t>
  </si>
  <si>
    <t>Total Capacidades IaaS -  Anexo 7 + adicion 2024 + adicion 2025</t>
  </si>
  <si>
    <t xml:space="preserve">Recursos IaaS </t>
  </si>
  <si>
    <t>Total Capacidades Aprovisionadas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</si>
  <si>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</si>
  <si>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</si>
  <si>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</si>
  <si>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</si>
  <si>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</si>
  <si>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</si>
  <si>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</si>
  <si>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</si>
  <si>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</si>
  <si>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</si>
  <si>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</si>
  <si>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</si>
  <si>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</si>
  <si>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</si>
  <si>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</si>
  <si>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</si>
  <si>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</si>
  <si>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</si>
  <si>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</si>
  <si>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</si>
  <si>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</si>
  <si>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</si>
  <si>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</si>
  <si>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</si>
  <si>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</si>
  <si>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</si>
  <si>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</si>
  <si>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</si>
  <si>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</si>
  <si>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</si>
  <si>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</si>
  <si>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</si>
  <si>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</si>
  <si>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</si>
  <si>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</si>
  <si>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</si>
  <si>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</si>
  <si>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</si>
  <si>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</si>
  <si>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</si>
  <si>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</si>
  <si>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</si>
  <si>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</si>
  <si>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</si>
  <si>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</si>
  <si>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</si>
  <si>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</si>
  <si>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</si>
  <si>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</si>
  <si>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</si>
  <si>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</si>
  <si>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</si>
  <si>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</si>
  <si>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</si>
  <si>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</si>
  <si>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</si>
  <si>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</si>
  <si>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</si>
  <si>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</si>
  <si>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</si>
  <si>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</si>
  <si>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</si>
  <si>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</si>
  <si>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</si>
  <si>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</si>
  <si>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</si>
  <si>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</si>
  <si>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</si>
  <si>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</si>
  <si>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</si>
  <si>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</si>
  <si>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</si>
  <si>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</si>
  <si>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</si>
  <si>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</si>
  <si>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</si>
  <si>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</si>
  <si>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</si>
  <si>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</si>
  <si>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</si>
  <si>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</si>
  <si>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</si>
  <si>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</si>
  <si>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</si>
  <si>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</si>
  <si>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</si>
  <si>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</si>
  <si>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</si>
  <si>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</si>
  <si>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</si>
  <si>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</si>
  <si>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</si>
  <si>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</si>
  <si>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</si>
  <si>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</si>
  <si>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</si>
  <si>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</si>
  <si>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</si>
  <si>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</si>
  <si>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com.vrlcm.snapshot</t>
  </si>
  <si>
    <t>CreationDate</t>
  </si>
  <si>
    <t>CustomerName</t>
  </si>
  <si>
    <t>OperatingSystemName</t>
  </si>
  <si>
    <t>OT</t>
  </si>
  <si>
    <t>RF1173859 02/10/2020</t>
  </si>
  <si>
    <t>Ticket</t>
  </si>
  <si>
    <t>UpdateVMWareTools</t>
  </si>
  <si>
    <t>VMwareTools</t>
  </si>
  <si>
    <t>SO</t>
  </si>
  <si>
    <t>VM.1</t>
  </si>
  <si>
    <t>OperatingSystemFullName</t>
  </si>
  <si>
    <t>OperatingSystemLanguage</t>
  </si>
  <si>
    <t>FLP0000544</t>
  </si>
  <si>
    <t>FLP0000544_FIDUPREVISORA</t>
  </si>
  <si>
    <t>poweredOn</t>
  </si>
  <si>
    <t>green</t>
  </si>
  <si>
    <t>saturno.fiduprevisora.com.co</t>
  </si>
  <si>
    <t>connected</t>
  </si>
  <si>
    <t>running</t>
  </si>
  <si>
    <t>0%</t>
  </si>
  <si>
    <t>amd-zen3</t>
  </si>
  <si>
    <t>normal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</si>
  <si>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</si>
  <si>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</si>
  <si>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</si>
  <si>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</si>
  <si>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</t>
  </si>
  <si>
    <t>group-v1457</t>
  </si>
  <si>
    <t>/VDC001_TRI_CENTRALIZADO_CLI/FVM_IMPLEMENTACIONES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</si>
  <si>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</si>
  <si>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</si>
  <si>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</si>
  <si>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</si>
  <si>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</si>
  <si>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</si>
  <si>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</si>
  <si>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</si>
  <si>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</si>
  <si>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[53476693]  Client: [VCSATRIARA_EXT], Backup Set: [FIDUPREVISORA], Subclient: [FLP0000544]</t>
  </si>
  <si>
    <t>07/24/2025 09:47:33</t>
  </si>
  <si>
    <t>VDC001_TRI_CENTRALIZADO_CLI</t>
  </si>
  <si>
    <t>CLT314_TRI_COM_OCTADECACORE09_ACI_ADD</t>
  </si>
  <si>
    <t>c-tfm0005331-faz33-9-sr645.datacenterdhs.local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</si>
  <si>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</si>
  <si>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</si>
  <si>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</si>
  <si>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</si>
  <si>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</si>
  <si>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</si>
  <si>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</si>
  <si>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</si>
  <si>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</si>
  <si>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</si>
  <si>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</si>
  <si>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</si>
  <si>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</si>
  <si>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</si>
  <si>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</si>
  <si>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</si>
  <si>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</si>
  <si>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[53476681]  Client: [VCSATRIARA_EXT], Backup Set: [FIDUPREVISORA], Subclient: [FLP0000545]</t>
  </si>
  <si>
    <t>07/24/2025 09:19:12</t>
  </si>
  <si>
    <t>c-tfm5205-gaj03-10-sr645.datacenterdhs.local</t>
  </si>
  <si>
    <t>vm-1092848</t>
  </si>
  <si>
    <t>42075337-7182-a03d-0ac7-3a82665c01ed</t>
  </si>
  <si>
    <t>5007d8ea-d9f9-1782-e8dc-6bbdb90a255d</t>
  </si>
  <si>
    <t>FLP0000546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</si>
  <si>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</si>
  <si>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</si>
  <si>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</si>
  <si>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</si>
  <si>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</si>
  <si>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</si>
  <si>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</si>
  <si>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</si>
  <si>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[54682297]  Client: [VCSATRIARA_EXT], Backup Set: [FIDUPREVISORA], Subclient: [FLP0000546]</t>
  </si>
  <si>
    <t>09/02/2025 04:04:07</t>
  </si>
  <si>
    <t>c-tfm4678-fak05-29-sr645.datacenterdhs.local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</si>
  <si>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</si>
  <si>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</si>
  <si>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</si>
  <si>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</si>
  <si>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</si>
  <si>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</si>
  <si>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</si>
  <si>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</si>
  <si>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</si>
  <si>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</si>
  <si>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</si>
  <si>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[54671621]  Client: [VCSATRIARA_EXT], Backup Set: [FIDUPREVISORA], Subclient: [FLP0000547]</t>
  </si>
  <si>
    <t>09/01/2025 22:11:41</t>
  </si>
  <si>
    <t>c-tfm0005328-faz33-6-sr645.datacenterdhs.local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</si>
  <si>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</si>
  <si>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</si>
  <si>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</si>
  <si>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</si>
  <si>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</si>
  <si>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</si>
  <si>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</si>
  <si>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</si>
  <si>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</si>
  <si>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</si>
  <si>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</si>
  <si>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[54671625]  Client: [VCSATRIARA_EXT], Backup Set: [FIDUPREVISORA], Subclient: [FLP0000548]</t>
  </si>
  <si>
    <t>09/01/2025 22:06:39</t>
  </si>
  <si>
    <t>c-tfm0005330-faz33-8-sr645.datacenterdhs.local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</si>
  <si>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</si>
  <si>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</si>
  <si>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</si>
  <si>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</si>
  <si>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</t>
  </si>
  <si>
    <t>FLP0000555_FIDUPREVISORA</t>
  </si>
  <si>
    <t>RiesgosProd</t>
  </si>
  <si>
    <t>10.10.2.40</t>
  </si>
  <si>
    <t>DPG_CLT314_PRO_V1095_OCTADECACORE09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</si>
  <si>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</si>
  <si>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</si>
  <si>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</si>
  <si>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</si>
  <si>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[54672632]  Client: [VCSATRIARA_EXT], Backup Set: [FIDUPREVISORA], Subclient: [FLP0000555]</t>
  </si>
  <si>
    <t>09/01/2025 22:58:17</t>
  </si>
  <si>
    <t>c-tfm4680-fav38-26-sr645.datacenterdhs.local</t>
  </si>
  <si>
    <t>vm-1410167</t>
  </si>
  <si>
    <t>4207b634-d456-a6fe-bc5c-36e5230766ae</t>
  </si>
  <si>
    <t>50079908-05ae-0e89-385e-0aa0aaa8826e</t>
  </si>
  <si>
    <t>FLP0000556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</si>
  <si>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</si>
  <si>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</si>
  <si>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</si>
  <si>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</si>
  <si>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</si>
  <si>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[54681901]  Client: [VCSATRIARA_EXT], Backup Set: [FIDUPREVISORA], Subclient: [FLP0000556]</t>
  </si>
  <si>
    <t>09/02/2025 03:45:20</t>
  </si>
  <si>
    <t>c-tfm4567-gbd15-22-sr645.datacenterdhs.local</t>
  </si>
  <si>
    <t>Microsoft Windows Server 2022 (64-bit)</t>
  </si>
  <si>
    <t>vm-1437925</t>
  </si>
  <si>
    <t>42072d0e-be8c-e253-4ec6-ee533ef8c87e</t>
  </si>
  <si>
    <t>5007c0f0-0c61-0568-a68d-6475c398eae1</t>
  </si>
  <si>
    <t>FLP0000557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</si>
  <si>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</si>
  <si>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</si>
  <si>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</si>
  <si>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</si>
  <si>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</si>
  <si>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</si>
  <si>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[54671631]  Client: [VCSATRIARA_EXT], Backup Set: [FIDUPREVISORA], Subclient: [FLP0000557]</t>
  </si>
  <si>
    <t>09/01/2025 22:26:52</t>
  </si>
  <si>
    <t>vm-1456211</t>
  </si>
  <si>
    <t>c-tfm4679-fbc38-14-sr645.datacenterdhs.local</t>
  </si>
  <si>
    <t>42076fe7-5421-4784-47f7-1a9a8ae40ebf</t>
  </si>
  <si>
    <t>50079f7b-fd0f-b07a-7bb6-ce8008504c13</t>
  </si>
  <si>
    <t>FLP0000558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</si>
  <si>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</si>
  <si>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</si>
  <si>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</si>
  <si>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</si>
  <si>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</si>
  <si>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[54672635]  Client: [VCSATRIARA_EXT], Backup Set: [FIDUPREVISORA], Subclient: [FLP0000558]</t>
  </si>
  <si>
    <t>09/01/2025 22:40:28</t>
  </si>
  <si>
    <t>vm-1483580</t>
  </si>
  <si>
    <t>42075451-7581-1cb9-1407-c5ee72c90151</t>
  </si>
  <si>
    <t>5007b01e-2d78-8c15-4fd6-29fbb9d3c65f</t>
  </si>
  <si>
    <t>FLP0000559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</si>
  <si>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</si>
  <si>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</si>
  <si>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</si>
  <si>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</si>
  <si>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</si>
  <si>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</si>
  <si>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[54675444]  Client: [VCSATRIARA_EXT], Backup Set: [FIDUPREVISORA], Subclient: [FLP0000559]</t>
  </si>
  <si>
    <t>09/02/2025 00:05:36</t>
  </si>
  <si>
    <t>c-tfm0005329-faz33-7-sr645.datacenterdhs.local</t>
  </si>
  <si>
    <t>vm-1501884</t>
  </si>
  <si>
    <t>42072929-1094-6e13-8c12-b072326283ef</t>
  </si>
  <si>
    <t>5007154a-9173-8131-0d4a-31b6dc4c32d6</t>
  </si>
  <si>
    <t>FLP0000560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</si>
  <si>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</si>
  <si>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</si>
  <si>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</si>
  <si>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</si>
  <si>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</si>
  <si>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[54675566]  Client: [VCSATRIARA_EXT], Backup Set: [FIDUPREVISORA], Subclient: [FLP0000560]</t>
  </si>
  <si>
    <t>09/02/2025 00:05:27</t>
  </si>
  <si>
    <t>c-tfm5117-el07-13-sr645.datacenterdhs.local</t>
  </si>
  <si>
    <t>vm-1501885</t>
  </si>
  <si>
    <t>420751e5-45d6-3f2f-7471-713bfc5323c5</t>
  </si>
  <si>
    <t>5007253b-3250-45d1-fc50-7203adc09752</t>
  </si>
  <si>
    <t>FLP0000561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</si>
  <si>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</si>
  <si>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</si>
  <si>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</si>
  <si>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</si>
  <si>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</si>
  <si>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</si>
  <si>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</si>
  <si>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</si>
  <si>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</si>
  <si>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</si>
  <si>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</si>
  <si>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</si>
  <si>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[54673594]  Client: [VCSATRIARA_EXT], Backup Set: [FIDUPREVISORA], Subclient: [FLP0000561]</t>
  </si>
  <si>
    <t>09/01/2025 23:05:34</t>
  </si>
  <si>
    <t>CLT315_TRI_COM_OCTADECACORE10_ACI</t>
  </si>
  <si>
    <t>c-tfm0005486-cd14-05-sr645.datacenterdhs.local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</si>
  <si>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</si>
  <si>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</si>
  <si>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</si>
  <si>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</si>
  <si>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</si>
  <si>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</si>
  <si>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</si>
  <si>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</si>
  <si>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</si>
  <si>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</si>
  <si>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</si>
  <si>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[54678834]  Client: [VCSATRIARA_EXT], Backup Set: [FIDUPREVISORA], Subclient: [FLP0000562]</t>
  </si>
  <si>
    <t>09/02/2025 02:17:03</t>
  </si>
  <si>
    <t>c-tfm0005489-ck22-04-sr645.datacenterdhs.local</t>
  </si>
  <si>
    <t>vm-1544349</t>
  </si>
  <si>
    <t>42070f1d-bbe1-33ce-94e1-a5ef4ae0e5df</t>
  </si>
  <si>
    <t>5007f234-eafb-9442-8cd6-58d8fb049dc7</t>
  </si>
  <si>
    <t>FLP0000563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</si>
  <si>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</si>
  <si>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</si>
  <si>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</si>
  <si>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</si>
  <si>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</si>
  <si>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[54680531]  Client: [VCSATRIARA_EXT], Backup Set: [FIDUPREVISORA], Subclient: [FLP0000563]</t>
  </si>
  <si>
    <t>09/02/2025 03:03:27</t>
  </si>
  <si>
    <t>vm-1512506</t>
  </si>
  <si>
    <t>4207ea77-ccc1-9c40-0685-8c4431cf51be</t>
  </si>
  <si>
    <t>5007ff60-40a6-0a44-27a2-364af04f0755</t>
  </si>
  <si>
    <t>FLP0000564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</si>
  <si>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</si>
  <si>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</si>
  <si>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</si>
  <si>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</si>
  <si>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</si>
  <si>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[54672441]  Client: [VCSATRIARA_EXT], Backup Set: [FIDUPREVISORA], Subclient: [FLP0000564]</t>
  </si>
  <si>
    <t>09/01/2025 22:37:11</t>
  </si>
  <si>
    <t>vm-1512507</t>
  </si>
  <si>
    <t>42075539-d925-68ff-948d-50e0189ef268</t>
  </si>
  <si>
    <t>50078914-16c8-1364-1c50-8c840fc95656</t>
  </si>
  <si>
    <t>FLP0000565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</si>
  <si>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</si>
  <si>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</si>
  <si>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</si>
  <si>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</si>
  <si>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</si>
  <si>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[54680980]  Client: [VCSATRIARA_EXT], Backup Set: [FIDUPREVISORA], Subclient: [FLP0000565]</t>
  </si>
  <si>
    <t>09/02/2025 03:08:55</t>
  </si>
  <si>
    <t>vm-1512508</t>
  </si>
  <si>
    <t>4207353d-586a-9604-56ff-107881fa3719</t>
  </si>
  <si>
    <t>5007d602-4a47-8cf0-4d15-81d38538f38d</t>
  </si>
  <si>
    <t>FLP0000566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</si>
  <si>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</si>
  <si>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</si>
  <si>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</si>
  <si>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</si>
  <si>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</si>
  <si>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[54679078]  Client: [VCSATRIARA_EXT], Backup Set: [FIDUPREVISORA], Subclient: [FLP0000566]</t>
  </si>
  <si>
    <t>09/02/2025 02:17:24</t>
  </si>
  <si>
    <t>c-tfm0005488-ck22-03-sr645.datacenterdhs.local</t>
  </si>
  <si>
    <t>vm-1528975</t>
  </si>
  <si>
    <t>420744e9-c49c-0bcc-98c5-03efda8ad230</t>
  </si>
  <si>
    <t>5007d4fb-8f17-3772-e365-15eb292b7147</t>
  </si>
  <si>
    <t>FLP0000567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</si>
  <si>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</si>
  <si>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</si>
  <si>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</si>
  <si>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</si>
  <si>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</si>
  <si>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[54679316]  Client: [VCSATRIARA_EXT], Backup Set: [FIDUPREVISORA], Subclient: [FLP0000567]</t>
  </si>
  <si>
    <t>09/02/2025 02:20:02</t>
  </si>
  <si>
    <t>c-tfm0005487-ck22-02-sr645.datacenterdhs.local</t>
  </si>
  <si>
    <t>CentOS 8 (64-bit)</t>
  </si>
  <si>
    <t>vm-1538997</t>
  </si>
  <si>
    <t>4207ee85-43dc-8712-2be8-881b09866184</t>
  </si>
  <si>
    <t>5007ef2a-dc25-74c7-ab77-123f9d93a223</t>
  </si>
  <si>
    <t>FLP0000568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</si>
  <si>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</si>
  <si>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</si>
  <si>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</si>
  <si>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</si>
  <si>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</si>
  <si>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[54672639]  Client: [VCSATRIARA_EXT], Backup Set: [FIDUPREVISORA], Subclient: [FLP0000568]</t>
  </si>
  <si>
    <t>09/01/2025 22:38:37</t>
  </si>
  <si>
    <t>c-tfm0005485-cd14-04-sr645.datacenterdhs.local</t>
  </si>
  <si>
    <t>vm-1529012</t>
  </si>
  <si>
    <t>4207a0f4-1de1-1bf8-099c-2db92492951d</t>
  </si>
  <si>
    <t>50077761-ac55-d009-58eb-358dabfb24fd</t>
  </si>
  <si>
    <t>FLP0000574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</si>
  <si>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</si>
  <si>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</si>
  <si>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</si>
  <si>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</si>
  <si>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</si>
  <si>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</si>
  <si>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</si>
  <si>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[54671632]  Client: [VCSATRIARA_EXT], Backup Set: [FIDUPREVISORA], Subclient: [FLP0000574]</t>
  </si>
  <si>
    <t>09/01/2025 22:06:38</t>
  </si>
  <si>
    <t>vm-2658054</t>
  </si>
  <si>
    <t>42074ff7-6834-04f7-e552-3eefb230b863</t>
  </si>
  <si>
    <t>5007fb00-703f-c544-677a-9f1a14390e99</t>
  </si>
  <si>
    <t>FLP0000575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</si>
  <si>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</si>
  <si>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</si>
  <si>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</si>
  <si>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</si>
  <si>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</si>
  <si>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</si>
  <si>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</si>
  <si>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[54671373]  Client: [VCSATRIARA_EXT], Backup Set: [FIDUPREVISORA], Subclient: [FLP0000575]</t>
  </si>
  <si>
    <t>09/01/2025 22:05:40</t>
  </si>
  <si>
    <t>vm-2570146</t>
  </si>
  <si>
    <t>42073425-9567-6965-cbd3-ecba5c092165</t>
  </si>
  <si>
    <t>50074a8d-2b48-97cf-7201-f9f70b9b40a5</t>
  </si>
  <si>
    <t>FLP0000576</t>
  </si>
  <si>
    <t>FLP0000576_FIDUPREVISORA</t>
  </si>
  <si>
    <t>FIPR001CSP1WORKER1</t>
  </si>
  <si>
    <t>100.64.152.5</t>
  </si>
  <si>
    <t>[H_TFM4915_R6_MT_ID052_OCTADECACORE_4TB] FLP0000576_FIDUPREVISORA/FLP0000576_FIDUPREVISORA.vmx</t>
  </si>
  <si>
    <t>[H_TFM4915_R6_MT_ID052_OCTADECACORE_4TB] FLP0000576_FIDUPREVISORA/</t>
  </si>
  <si>
    <t>Backup Job ID [54675445]  Client: [VCSATRIARA_EXT], Backup Set: [FIDUPREVISORA], Subclient: [FLP0000576]</t>
  </si>
  <si>
    <t>09/02/2025 00:04:02</t>
  </si>
  <si>
    <t>c-tfm0005363-faz33-4-sr645.datacenterdhs.local</t>
  </si>
  <si>
    <t>vm-2578589</t>
  </si>
  <si>
    <t>42076c24-74b9-5e68-438b-7f09bd65912e</t>
  </si>
  <si>
    <t>50076f54-151a-8244-b80e-ca1003437d97</t>
  </si>
  <si>
    <t>FLP0000577</t>
  </si>
  <si>
    <t>FLP0000577_FIDUPREVISORA</t>
  </si>
  <si>
    <t>FIPR001CSP1WORKER2</t>
  </si>
  <si>
    <t>100.64.152.6</t>
  </si>
  <si>
    <t>[H_TFM4915_R6_MT_ID052_OCTADECACORE_4TB] FLP0000577_FIDUPREVISORA/FLP0000577_FIDUPREVISORA.vmx</t>
  </si>
  <si>
    <t>[H_TFM4915_R6_MT_ID052_OCTADECACORE_4TB] FLP0000577_FIDUPREVISORA/</t>
  </si>
  <si>
    <t>Backup Job ID [54671633]  Client: [VCSATRIARA_EXT], Backup Set: [FIDUPREVISORA], Subclient: [FLP0000577]</t>
  </si>
  <si>
    <t>09/01/2025 22:07:05</t>
  </si>
  <si>
    <t>vm-2593663</t>
  </si>
  <si>
    <t>42078f37-26b8-4fb8-c196-7dd7a6a393bb</t>
  </si>
  <si>
    <t>5007a3b6-f4b9-cc0b-02ea-66e139448533</t>
  </si>
  <si>
    <t>FLP0000578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</si>
  <si>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</si>
  <si>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</si>
  <si>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</si>
  <si>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</si>
  <si>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</si>
  <si>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[54672642]  Client: [VCSATRIARA_EXT], Backup Set: [FIDUPREVISORA], Subclient: [FLP0000578]</t>
  </si>
  <si>
    <t>09/01/2025 22:40:20</t>
  </si>
  <si>
    <t>vm-2593664</t>
  </si>
  <si>
    <t>42079869-0a19-9a4c-0f10-f259c29c9939</t>
  </si>
  <si>
    <t>5007a598-8e26-9989-b80d-10cf11443ead</t>
  </si>
  <si>
    <t>FLP0000579</t>
  </si>
  <si>
    <t>FLP0000579_FIDUPREVISORA</t>
  </si>
  <si>
    <t>notRunning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</si>
  <si>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</si>
  <si>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</si>
  <si>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</si>
  <si>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[54671635]  Client: [VCSATRIARA_EXT], Backup Set: [FIDUPREVISORA], Subclient: [FLP0000579]</t>
  </si>
  <si>
    <t>Ubuntu Linux (64-bit)</t>
  </si>
  <si>
    <t>vm-1539006</t>
  </si>
  <si>
    <t>42077a01-33a2-3d1f-5c0e-c1a5015c44d4</t>
  </si>
  <si>
    <t>50071d5c-cc21-ea81-71cb-d4d340a69fb3</t>
  </si>
  <si>
    <t>FLP0000596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</si>
  <si>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</si>
  <si>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</si>
  <si>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</si>
  <si>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</si>
  <si>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</si>
  <si>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</si>
  <si>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</si>
  <si>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[54667721]  Client: [VCSATRIARA_EXT], Backup Set: [FIDUPREVISORA], Subclient: [FLP0000596]</t>
  </si>
  <si>
    <t>09/01/2025 20:07:44</t>
  </si>
  <si>
    <t>vm-1600670</t>
  </si>
  <si>
    <t>4207a826-fe5f-ddd4-4c54-7d1810749a2c</t>
  </si>
  <si>
    <t>50070aea-0235-c968-0473-c2e3c0e26b73</t>
  </si>
  <si>
    <t>FLP0000597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</si>
  <si>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</si>
  <si>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</si>
  <si>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</si>
  <si>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</si>
  <si>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</si>
  <si>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[54680851]  Client: [VCSATRIARA_EXT], Backup Set: [FIDUPREVISORA], Subclient: [FLP0000597]</t>
  </si>
  <si>
    <t>09/02/2025 03:06:27</t>
  </si>
  <si>
    <t>vm-1600668</t>
  </si>
  <si>
    <t>4207cfbd-6c29-673e-0f40-eaa6c1f30104</t>
  </si>
  <si>
    <t>50076207-4a3e-fd53-e111-a575ce432e0c</t>
  </si>
  <si>
    <t>FLP0000598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</si>
  <si>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</si>
  <si>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</si>
  <si>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</si>
  <si>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</si>
  <si>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</si>
  <si>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</si>
  <si>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[54677132]  Client: [VCSATRIARA_EXT], Backup Set: [FIDUPREVISORA], Subclient: [FLP0000598]</t>
  </si>
  <si>
    <t>09/02/2025 01:05:36</t>
  </si>
  <si>
    <t>vm-1678642</t>
  </si>
  <si>
    <t>420784ff-e685-3236-416a-7c7cd34c6b0f</t>
  </si>
  <si>
    <t>5007e885-c43b-cbf8-db5e-095c3d39c81d</t>
  </si>
  <si>
    <t>FLP0000599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</si>
  <si>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</si>
  <si>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</si>
  <si>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</si>
  <si>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</si>
  <si>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</si>
  <si>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[54682339]  Client: [VCSATRIARA_EXT], Backup Set: [FIDUPREVISORA], Subclient: [FLP0000599]</t>
  </si>
  <si>
    <t>09/02/2025 04:03:46</t>
  </si>
  <si>
    <t>vm-1678646</t>
  </si>
  <si>
    <t>4207f705-3cc5-9881-db3f-69548af231dd</t>
  </si>
  <si>
    <t>5007c139-34aa-eb65-8b14-1477b04b2be4</t>
  </si>
  <si>
    <t>FLP0000600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</si>
  <si>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</si>
  <si>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</si>
  <si>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</si>
  <si>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</si>
  <si>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</si>
  <si>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[54664902]  Client: [VCSATRIARA_EXT], Backup Set: [FIDUPREVISORA], Subclient: [FLP0000600]</t>
  </si>
  <si>
    <t>09/01/2025 18:09:36</t>
  </si>
  <si>
    <t>vm-1678647</t>
  </si>
  <si>
    <t>4207d714-ca0a-65da-6945-38242a74ab2e</t>
  </si>
  <si>
    <t>50078f26-01c6-8c6a-ac31-b185a03d2d62</t>
  </si>
  <si>
    <t>FLP0000601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</si>
  <si>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</si>
  <si>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</si>
  <si>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</si>
  <si>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</si>
  <si>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</si>
  <si>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[54667722]  Client: [VCSATRIARA_EXT], Backup Set: [FIDUPREVISORA], Subclient: [FLP0000601]</t>
  </si>
  <si>
    <t>09/01/2025 20:05:41</t>
  </si>
  <si>
    <t>vm-1678648</t>
  </si>
  <si>
    <t>420754e2-3787-eb28-4961-a9ae653a3cc6</t>
  </si>
  <si>
    <t>5007f438-bc52-edbd-e018-37bfc787da93</t>
  </si>
  <si>
    <t>FLP0000602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</si>
  <si>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</si>
  <si>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</si>
  <si>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</si>
  <si>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</si>
  <si>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</si>
  <si>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[54679318]  Client: [VCSATRIARA_EXT], Backup Set: [FIDUPREVISORA], Subclient: [FLP0000602]</t>
  </si>
  <si>
    <t>09/02/2025 02:32:27</t>
  </si>
  <si>
    <t>vm-1678649</t>
  </si>
  <si>
    <t>4207fa26-2fd8-65a6-0159-415ff3b76874</t>
  </si>
  <si>
    <t>5007891a-5c96-56ca-ca66-30799d121530</t>
  </si>
  <si>
    <t>FLP0000603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</si>
  <si>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</si>
  <si>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</si>
  <si>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</si>
  <si>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</si>
  <si>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</si>
  <si>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[54680793]  Client: [VCSATRIARA_EXT], Backup Set: [FIDUPREVISORA], Subclient: [FLP0000603]</t>
  </si>
  <si>
    <t>09/02/2025 03:08:32</t>
  </si>
  <si>
    <t>vm-1678652</t>
  </si>
  <si>
    <t>42077ca7-0b27-b06c-25c5-a3894ebc14d9</t>
  </si>
  <si>
    <t>500730aa-5720-59ee-e6d5-466afd40113b</t>
  </si>
  <si>
    <t>FLP0000604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</si>
  <si>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</si>
  <si>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</si>
  <si>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</si>
  <si>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</si>
  <si>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</si>
  <si>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[54669642]  Client: [VCSATRIARA_EXT], Backup Set: [FIDUPREVISORA], Subclient: [FLP0000604]</t>
  </si>
  <si>
    <t>09/01/2025 21:06:56</t>
  </si>
  <si>
    <t>vm-1678653</t>
  </si>
  <si>
    <t>4207cff6-3f21-91a7-5f2e-5d0a9b9e4868</t>
  </si>
  <si>
    <t>50074146-27d5-019c-d6db-484c362e12f0</t>
  </si>
  <si>
    <t>FLP0000605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</si>
  <si>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</si>
  <si>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</si>
  <si>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</si>
  <si>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</si>
  <si>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</si>
  <si>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[54682341]  Client: [VCSATRIARA_EXT], Backup Set: [FIDUPREVISORA], Subclient: [FLP0000605]</t>
  </si>
  <si>
    <t>09/02/2025 04:03:50</t>
  </si>
  <si>
    <t>vm-1678654</t>
  </si>
  <si>
    <t>42079929-11fc-d657-b2cd-a0f019e07e5e</t>
  </si>
  <si>
    <t>5007848d-8d9a-c82f-6f60-b713e7c6b57a</t>
  </si>
  <si>
    <t>FLP0000606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</si>
  <si>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</si>
  <si>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</si>
  <si>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</si>
  <si>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</si>
  <si>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[54680853]  Client: [VCSATRIARA_EXT], Backup Set: [FIDUPREVISORA], Subclient: [FLP0000606]</t>
  </si>
  <si>
    <t>09/02/2025 03:05:26</t>
  </si>
  <si>
    <t>vm-1678657</t>
  </si>
  <si>
    <t>4207a569-850f-8026-b4a9-80547b0b61cc</t>
  </si>
  <si>
    <t>5007dfe7-4104-2349-4ccd-3881f6ba6939</t>
  </si>
  <si>
    <t>FLP0000607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</si>
  <si>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</si>
  <si>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</si>
  <si>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</si>
  <si>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</si>
  <si>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</si>
  <si>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[54682429]  Client: [VCSATRIARA_EXT], Backup Set: [FIDUPREVISORA], Subclient: [FLP0000607]</t>
  </si>
  <si>
    <t>09/02/2025 04:05:08</t>
  </si>
  <si>
    <t>vm-1678659</t>
  </si>
  <si>
    <t>42075c79-6adc-87d7-e904-ab6b68009135</t>
  </si>
  <si>
    <t>50077101-a686-9c78-50a6-608ec5460c0d</t>
  </si>
  <si>
    <t>FLP0000608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</si>
  <si>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</si>
  <si>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</si>
  <si>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</si>
  <si>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</si>
  <si>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</si>
  <si>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[54667723]  Client: [VCSATRIARA_EXT], Backup Set: [FIDUPREVISORA], Subclient: [FLP0000608]</t>
  </si>
  <si>
    <t>09/01/2025 20:03:38</t>
  </si>
  <si>
    <t>c-tfm0005490-ck22-05-sr645.datacenterdhs.local</t>
  </si>
  <si>
    <t>vm-1678641</t>
  </si>
  <si>
    <t>4207dd40-29d3-1da0-7b33-1dede5dfc702</t>
  </si>
  <si>
    <t>5007d618-8a89-27e6-5c7d-49b99d9d88f7</t>
  </si>
  <si>
    <t>FLP0000609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</si>
  <si>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</si>
  <si>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</si>
  <si>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</si>
  <si>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</si>
  <si>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</si>
  <si>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[54680854]  Client: [VCSATRIARA_EXT], Backup Set: [FIDUPREVISORA], Subclient: [FLP0000609]</t>
  </si>
  <si>
    <t>vm-1678644</t>
  </si>
  <si>
    <t>42071f69-21b0-8d5a-29b1-b969aa2d3e31</t>
  </si>
  <si>
    <t>50071ed0-6cb2-7575-dd27-c0ad3d143438</t>
  </si>
  <si>
    <t>FLP0000610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</si>
  <si>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</si>
  <si>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</si>
  <si>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</si>
  <si>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</si>
  <si>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</si>
  <si>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[54678406]  Client: [VCSATRIARA_EXT], Backup Set: [FIDUPREVISORA], Subclient: [FLP0000610]</t>
  </si>
  <si>
    <t>09/02/2025 02:05:43</t>
  </si>
  <si>
    <t>vm-1678645</t>
  </si>
  <si>
    <t>42076fe9-faba-c1cf-b44a-eb1520da06c2</t>
  </si>
  <si>
    <t>50070a2b-8324-9e99-a946-8d5358cead6b</t>
  </si>
  <si>
    <t>FLP0000611</t>
  </si>
  <si>
    <t>FLP0000611_FIDUPREVISORA</t>
  </si>
  <si>
    <t>nencatacoa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</si>
  <si>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</si>
  <si>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</si>
  <si>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</si>
  <si>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</si>
  <si>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</si>
  <si>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[54663526]  Client: [VCSATRIARA_EXT], Backup Set: [FIDUPREVISORA], Subclient: [FLP0000611]</t>
  </si>
  <si>
    <t>09/01/2025 17:01:50</t>
  </si>
  <si>
    <t>vm-1751131</t>
  </si>
  <si>
    <t>42075763-9d3d-ec9f-4326-c557a76d5c53</t>
  </si>
  <si>
    <t>5007fc66-4909-eab8-30fd-9a3d07849ab5</t>
  </si>
  <si>
    <t>FLP0000612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</si>
  <si>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</si>
  <si>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</si>
  <si>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</si>
  <si>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</si>
  <si>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</si>
  <si>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[54672450]  Client: [VCSATRIARA_EXT], Backup Set: [FIDUPREVISORA], Subclient: [FLP0000612]</t>
  </si>
  <si>
    <t>09/01/2025 22:39:24</t>
  </si>
  <si>
    <t>vm-1751137</t>
  </si>
  <si>
    <t>42071b44-9b07-5315-0926-ee4bc717dabf</t>
  </si>
  <si>
    <t>50073c40-08d5-9a97-545b-1c66740f2eec</t>
  </si>
  <si>
    <t>FLP0000616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</si>
  <si>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</si>
  <si>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</si>
  <si>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</si>
  <si>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</si>
  <si>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</si>
  <si>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</si>
  <si>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[54677978]  Client: [VCSATRIARA_EXT], Backup Set: [FIDUPREVISORA], Subclient: [FLP0000616]</t>
  </si>
  <si>
    <t>09/02/2025 01:53:38</t>
  </si>
  <si>
    <t>Microsoft Windows Server 2016 (64-bit)</t>
  </si>
  <si>
    <t>vm-1925331</t>
  </si>
  <si>
    <t>4207de24-7545-2b2a-4565-7dda96e9e62f</t>
  </si>
  <si>
    <t>5007137c-0797-f57f-606b-90c55dd27b14</t>
  </si>
  <si>
    <t>FLP0000619</t>
  </si>
  <si>
    <t>FLP0000619_FIDUPREVISORA</t>
  </si>
  <si>
    <t>Mercurio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</si>
  <si>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</si>
  <si>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</si>
  <si>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</si>
  <si>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Windows Server 2022 Standard - English. Normalización mediante ASGARD. Actualización 13/06/2025. KB.</t>
  </si>
  <si>
    <t>Backup Job ID [54672281]  Client: [VCSATRIARA_EXT], Backup Set: [FIDUPREVISORA], Subclient: [FLP0000619]</t>
  </si>
  <si>
    <t>09/01/2025 22:38:33</t>
  </si>
  <si>
    <t>vm-2891644</t>
  </si>
  <si>
    <t>42073771-c7ce-a213-28a1-e3300b465393</t>
  </si>
  <si>
    <t>500708e4-ae1c-2ec2-2aa7-8769a9f0b9af</t>
  </si>
  <si>
    <t>FLP0000620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</si>
  <si>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</si>
  <si>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</si>
  <si>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</si>
  <si>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[54672284]  Client: [VCSATRIARA_EXT], Backup Set: [FIDUPREVISORA], Subclient: [FLP0000620]</t>
  </si>
  <si>
    <t>09/01/2025 22:36:07</t>
  </si>
  <si>
    <t>vm-2145420</t>
  </si>
  <si>
    <t>4207d353-995f-79bf-02c5-50322e712f3e</t>
  </si>
  <si>
    <t>50077665-d94b-2409-c7f7-0d0d46dad040</t>
  </si>
  <si>
    <t>FLP00006231</t>
  </si>
  <si>
    <t>FLP00006231_FIDUPREVISORA</t>
  </si>
  <si>
    <t>HEBE</t>
  </si>
  <si>
    <t>yellow</t>
  </si>
  <si>
    <t>100.66.80.225</t>
  </si>
  <si>
    <t>DPG_CLT315_MGT_PVLAN_1329-1330_OCTADECACORE10</t>
  </si>
  <si>
    <t>DPG_CLT315_SRV_PVLAN_2093-2094_OCTADECACORE10</t>
  </si>
  <si>
    <t>[H_TFM2117_R10_N1_ID079_OCTADECACORE_3TB] FLP00006231_FIDUPREVISORA/FLP00006231_FIDUPREVISORA.vmx</t>
  </si>
  <si>
    <t>[H_TFM2117_R10_N1_ID079_OCTADECACORE_3TB] FLP00006231_FIDUPREVISORA/</t>
  </si>
  <si>
    <t>c-tfm0005483-cd14-02-sr645.datacenterdhs.local</t>
  </si>
  <si>
    <t>vm-3074280</t>
  </si>
  <si>
    <t>42076aca-105f-2191-026f-112c76fcf9af</t>
  </si>
  <si>
    <t>50078415-c880-40e5-a6e6-9597cbbd1f02</t>
  </si>
  <si>
    <t>FLP00006241</t>
  </si>
  <si>
    <t>FLP00006241_FIDUPREVISORA</t>
  </si>
  <si>
    <t>HATOR</t>
  </si>
  <si>
    <t>100.66.80.224</t>
  </si>
  <si>
    <t>[H_TFM4582_R6_N1_ID038_OCTADECACORE-BELLEZA_4TB] FLP00006241_FIDUPREVISORA/FLP00006241_FIDUPREVISORA.vmx</t>
  </si>
  <si>
    <t>[H_TFM4582_R6_N1_ID038_OCTADECACORE-BELLEZA_4TB] FLP00006241_FIDUPREVISORA/</t>
  </si>
  <si>
    <t>vm-3074279</t>
  </si>
  <si>
    <t>4207e11a-5929-e247-c5e8-7333c3c08fb0</t>
  </si>
  <si>
    <t>50070675-7023-03d3-3a6e-fe489d9640a5</t>
  </si>
  <si>
    <t>FLP0000625</t>
  </si>
  <si>
    <t>FLP0000625_FIDUPREVISORA</t>
  </si>
  <si>
    <t>poweredOff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</si>
  <si>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</si>
  <si>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</si>
  <si>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</si>
  <si>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</si>
  <si>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</si>
  <si>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</si>
  <si>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</si>
  <si>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</si>
  <si>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</si>
  <si>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</si>
  <si>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</si>
  <si>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</si>
  <si>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</si>
  <si>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</si>
  <si>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[54672508]  Client: [VCSATRIARA_EXT], Backup Set: [FIDUPREVISORA], Subclient: [FLP0000626]</t>
  </si>
  <si>
    <t>09/01/2025 22:43:31</t>
  </si>
  <si>
    <t>vm-2637099</t>
  </si>
  <si>
    <t>42075c97-cf26-d545-9d82-7526d18d6fdd</t>
  </si>
  <si>
    <t>50075785-163f-d0c0-8051-b14ed236e22e</t>
  </si>
  <si>
    <t>FLP0000627</t>
  </si>
  <si>
    <t>FLP0000627_FIDUPREVISORA</t>
  </si>
  <si>
    <t>VISHNU.fiduprevisora.com.co</t>
  </si>
  <si>
    <t>100.66.250.62</t>
  </si>
  <si>
    <t>[H_TFM2117_R10_N1_ID057_OCTADECACORE_3TB] FLP0000627_FIDUPREVISORA/FLP0000627_FIDUPREVISORA.vmx</t>
  </si>
  <si>
    <t>[H_TFM2117_R10_N1_ID057_OCTADECACORE_3TB] FLP0000627_FIDUPREVISORA/</t>
  </si>
  <si>
    <t>Backup Job ID [54672493]  Client: [VCSATRIARA_EXT], Backup Set: [FIDUPREVISORA], Subclient: [FLP0000627_FIDUPREVISORA]</t>
  </si>
  <si>
    <t>09/01/2025 22:49:32</t>
  </si>
  <si>
    <t>vm-2637103</t>
  </si>
  <si>
    <t>4207406c-4f59-4e43-02ce-902a91f1ff10</t>
  </si>
  <si>
    <t>50071071-66ae-4b24-2da8-77293097c20e</t>
  </si>
  <si>
    <t>FLP0000628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</si>
  <si>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</si>
  <si>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</si>
  <si>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</si>
  <si>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</si>
  <si>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</si>
  <si>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[54672513]  Client: [VCSATRIARA_EXT], Backup Set: [FIDUPREVISORA], Subclient: [FLP0000628]</t>
  </si>
  <si>
    <t>09/01/2025 22:47:01</t>
  </si>
  <si>
    <t>vm-2637109</t>
  </si>
  <si>
    <t>4207bb39-f4cf-1f1d-2901-44c3527f80c9</t>
  </si>
  <si>
    <t>50070647-dd4d-7608-fceb-4820950f062e</t>
  </si>
  <si>
    <t>FLP0000629</t>
  </si>
  <si>
    <t>FLP0000629_FIDUPREVISORA</t>
  </si>
  <si>
    <t>PITAGORAS1</t>
  </si>
  <si>
    <t>100.66.250.250</t>
  </si>
  <si>
    <t>group-v1510240</t>
  </si>
  <si>
    <t>/VDC001_TRI_CENTRALIZADO_CLI/FVM_CLIENTES/FVM_DEPLOYAUTO</t>
  </si>
  <si>
    <t>[H_TFM2117_R6_N2_ID020_OCTADECACORE_4TB] FLP0000629_FIDUPREVISORA/FLP0000629_FIDUPREVISORA.vmx</t>
  </si>
  <si>
    <t>[H_TFM2117_R6_N2_ID020_OCTADECACORE_4TB] FLP0000629_FIDUPREVISORA/</t>
  </si>
  <si>
    <t>Windows Server 2022 Standard - English. Normalización mediante ASGARD. Actualización 14/08/2025. KB.</t>
  </si>
  <si>
    <t>Backup Job ID [54672665]  Client: [VCSATRIARA_EXT], Backup Set: [FIDUPREVISORA], Subclient: [FLP0000629]</t>
  </si>
  <si>
    <t>09/01/2025 23:07:12</t>
  </si>
  <si>
    <t>vm-3040322</t>
  </si>
  <si>
    <t>420783a2-ace0-c438-f5dc-5c5960566198</t>
  </si>
  <si>
    <t>500798eb-09ec-ce4f-5668-b2b059562a05</t>
  </si>
  <si>
    <t>FLP0000630</t>
  </si>
  <si>
    <t>FLP0000630_FIDUPREVISORA</t>
  </si>
  <si>
    <t>PITAGORAS2</t>
  </si>
  <si>
    <t>100.66.250.251</t>
  </si>
  <si>
    <t>[H_TFM2117_R6_N2_ID020_OCTADECACORE_4TB] FLP0000630_FIDUPREVISORA/FLP0000630_FIDUPREVISORA.vmx</t>
  </si>
  <si>
    <t>[H_TFM2117_R6_N2_ID020_OCTADECACORE_4TB] FLP0000630_FIDUPREVISORA/</t>
  </si>
  <si>
    <t>Backup Job ID [54672667]  Client: [VCSATRIARA_EXT], Backup Set: [FIDUPREVISORA], Subclient: [FLP0000630]</t>
  </si>
  <si>
    <t>09/01/2025 22:53:55</t>
  </si>
  <si>
    <t>vm-3040324</t>
  </si>
  <si>
    <t>42072220-2e38-a6ed-6dfc-89145f8a935c</t>
  </si>
  <si>
    <t>5007f1d2-5ac9-fde6-bba3-da458126e67b</t>
  </si>
  <si>
    <t>FLP0000631</t>
  </si>
  <si>
    <t>FLP0000631_FIDUPREVISORA</t>
  </si>
  <si>
    <t>PITAGORAS3</t>
  </si>
  <si>
    <t>100.66.250.252</t>
  </si>
  <si>
    <t>[D_TFM2647_R6_N2_ID002_OCTADECACORE02_4TB] FLP0000631_FIDUPREVISORA/FLP0000631_FIDUPREVISORA.vmx</t>
  </si>
  <si>
    <t>[D_TFM2647_R6_N2_ID002_OCTADECACORE02_4TB] FLP0000631_FIDUPREVISORA/</t>
  </si>
  <si>
    <t>Backup Job ID [54672669]  Client: [VCSATRIARA_EXT], Backup Set: [FIDUPREVISORA], Subclient: [FLP0000631]</t>
  </si>
  <si>
    <t>09/01/2025 22:54:11</t>
  </si>
  <si>
    <t>vm-3040325</t>
  </si>
  <si>
    <t>4207fabe-f56e-ca0a-4e6c-f4cc48c715fa</t>
  </si>
  <si>
    <t>5007e112-fdcc-5158-81dc-9e0c08516ee3</t>
  </si>
  <si>
    <t>FLP0008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</si>
  <si>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</si>
  <si>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</si>
  <si>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</si>
  <si>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</si>
  <si>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</si>
  <si>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</si>
  <si>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</si>
  <si>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</si>
  <si>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</si>
  <si>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</si>
  <si>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[54679036]  Client: [VCSATRIARA_EXT], Backup Set: [FIDUPREVISORA], Subclient: [FLP0008_FIDUPREVISORA_Rep]</t>
  </si>
  <si>
    <t>09/02/2025 02:21:09</t>
  </si>
  <si>
    <t>vm-84478</t>
  </si>
  <si>
    <t>CLT307_TRI_COM_OCTADECACORE03_FP</t>
  </si>
  <si>
    <t>c-tfm2794-cj06-0209-ch121v5.datacenterdhs.local</t>
  </si>
  <si>
    <t>Microsoft Windows Server 2012 (64-bit)</t>
  </si>
  <si>
    <t>420b1439-431e-19fa-644f-6832265e14fb</t>
  </si>
  <si>
    <t>500bff8e-02d2-cd58-9317-542624777a0c</t>
  </si>
  <si>
    <t>FLP0034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</si>
  <si>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</si>
  <si>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</si>
  <si>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</si>
  <si>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</si>
  <si>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</si>
  <si>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</si>
  <si>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</si>
  <si>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/VDC001_TRI_CENTRALIZADO_CLI/FCL003_COMPARTIDOS/CLT306_TRI_COM_OCTADECACORE02_FP/Resources/RP_Fiduprevisora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</si>
  <si>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</si>
  <si>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</si>
  <si>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</si>
  <si>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[54676368]  Client: [VCSATRIARA_EXT], Backup Set: [FIDUPREVISORA], Subclient: [FLP0034_FIDUPREVISORA_REV_Rep]</t>
  </si>
  <si>
    <t>09/02/2025 00:36:09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</si>
  <si>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</si>
  <si>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</si>
  <si>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</si>
  <si>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</si>
  <si>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</si>
  <si>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</si>
  <si>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</t>
  </si>
  <si>
    <t>FLP0037_FIDUPREVISORA_APAGADA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</si>
  <si>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</si>
  <si>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</si>
  <si>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</si>
  <si>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</si>
  <si>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</si>
  <si>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</si>
  <si>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[53626185]  Client: [VCSATRIARA_EXT], Backup Set: [FIDUPREVISORA], Subclient: [FLP0037_FIDUPREVISORA_Rep]</t>
  </si>
  <si>
    <t>07/28/2025 17:02:03</t>
  </si>
  <si>
    <t>c-tfm2795-cj06-0210-ch121v5.datacenterdhs.local</t>
  </si>
  <si>
    <t>Other 2.6.x Linux (64-bit)</t>
  </si>
  <si>
    <t>vm-1390469</t>
  </si>
  <si>
    <t>564d4f54-44c0-4dc5-0266-b76a201c1d4f</t>
  </si>
  <si>
    <t>500bda6b-c122-0eba-0185-13d0f8578807</t>
  </si>
  <si>
    <t>FLP0037_FIDUPREVISORA</t>
  </si>
  <si>
    <t>[I_TFM3516_R6_N2_ID031_OCTADECACORE03_2.5TB] FLP0037_FIDUPREVISORA_Rep_Restore/FLP0037_FIDUPREVISORA_Rep_Restore.vmx</t>
  </si>
  <si>
    <t>[I_TFM3516_R6_N2_ID031_OCTADECACORE03_2.5TB] FLP0037_FIDUPREVISORA_Rep_Restore/</t>
  </si>
  <si>
    <t>Backup Job ID [54663463]  Client: [VCSATRIARA_EXT], Backup Set: [FIDUPREVISORA], Subclient: [FLP0037_FIDUPREVISORA_Rep]</t>
  </si>
  <si>
    <t>09/01/2025 17:02:17</t>
  </si>
  <si>
    <t>c-tfm3083-cj06-0212-ch121v5.datacenterdhs.local</t>
  </si>
  <si>
    <t>vm-1390481</t>
  </si>
  <si>
    <t>4207b6ac-9adc-dced-1db1-4c27f90127a8</t>
  </si>
  <si>
    <t>50078add-c286-6eb4-f726-54d1c7ab5102</t>
  </si>
  <si>
    <t>FLP0041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</si>
  <si>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</si>
  <si>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</si>
  <si>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</si>
  <si>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</si>
  <si>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</si>
  <si>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[54676369]  Client: [VCSATRIARA_EXT], Backup Set: [FIDUPREVISORA], Subclient: [FLP0041_FIDUPREVISORA_Rep]</t>
  </si>
  <si>
    <t>09/02/2025 00:36:05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</si>
  <si>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</si>
  <si>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</si>
  <si>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</si>
  <si>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</si>
  <si>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</si>
  <si>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</si>
  <si>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</si>
  <si>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</si>
  <si>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</si>
  <si>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</si>
  <si>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</si>
  <si>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</si>
  <si>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</si>
  <si>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[54676378]  Client: [VCSATRIARA_EXT], Backup Set: [FIDUPREVISORA], Subclient: [FLP0044_FIDUPREVISORA]</t>
  </si>
  <si>
    <t>09/02/2025 00:35:35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</si>
  <si>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</si>
  <si>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</si>
  <si>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</si>
  <si>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</si>
  <si>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</si>
  <si>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</si>
  <si>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</si>
  <si>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</si>
  <si>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</si>
  <si>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</si>
  <si>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</si>
  <si>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</si>
  <si>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</si>
  <si>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[54663465]  Client: [VCSATRIARA_EXT], Backup Set: [FIDUPREVISORA], Subclient: [FLP0060_FIDUPREVISORA_Rep]</t>
  </si>
  <si>
    <t>09/01/2025 17:05:02</t>
  </si>
  <si>
    <t>vm-83116</t>
  </si>
  <si>
    <t>c-tfm2793-cj06-0203-ch121v5.datacenterdhs.local</t>
  </si>
  <si>
    <t>420bd2c2-7db9-4306-d3c4-376dbed33652</t>
  </si>
  <si>
    <t>500b34da-4844-b161-2184-69ba51061ff7</t>
  </si>
  <si>
    <t>FLP0062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</si>
  <si>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</si>
  <si>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</si>
  <si>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</si>
  <si>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</si>
  <si>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</si>
  <si>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[54676370]  Client: [VCSATRIARA_EXT], Backup Set: [FIDUPREVISORA], Subclient: [FLP0062_FIDUPREVISORA_Rep]</t>
  </si>
  <si>
    <t>09/02/2025 00:38:47</t>
  </si>
  <si>
    <t>vm-82781</t>
  </si>
  <si>
    <t>420ba28c-c3d0-f636-3325-a8545faee1fb</t>
  </si>
  <si>
    <t>500bf28e-3f70-175e-e353-0559a6c36341</t>
  </si>
  <si>
    <t>FLP0063</t>
  </si>
  <si>
    <t>FLP0063_FIDUPREVISORA</t>
  </si>
  <si>
    <t>CERESPRU.fiduprevisora.com.co</t>
  </si>
  <si>
    <t>100.66.39.62</t>
  </si>
  <si>
    <t>DPG_CLT315_MGT_PVLAN_2280-2281_OCTADECACORE10</t>
  </si>
  <si>
    <t>[D_TFM2647_R6_N2_ID018_OCTADECACORE02_4TB] FLP0063_FIDUPREVISORA/FLP0063_FIDUPREVISORA.vmx</t>
  </si>
  <si>
    <t>[D_TFM2647_R6_N2_ID018_OCTADECACORE02_4TB] FLP0063_FIDUPREVISORA/</t>
  </si>
  <si>
    <t>Backup Job ID [54682529]  Client: [VCSATRIARA_EXT], Backup Set: [FIDUPREVISORA], Subclient: [FLP0063_FIDUPREVISORA]</t>
  </si>
  <si>
    <t>09/02/2025 04:23:18</t>
  </si>
  <si>
    <t>vm-11665</t>
  </si>
  <si>
    <t>420bb756-7a88-afa9-2a70-686f80e38d2c</t>
  </si>
  <si>
    <t>500b2d2c-f1fb-e0fd-c5ec-ef1e54075741</t>
  </si>
  <si>
    <t>FLP0068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</si>
  <si>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</si>
  <si>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</si>
  <si>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</si>
  <si>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</si>
  <si>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</si>
  <si>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</si>
  <si>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[54682531]  Client: [VCSATRIARA_EXT], Backup Set: [FIDUPREVISORA], Subclient: [FLP0068_FIDUPREVISORA]</t>
  </si>
  <si>
    <t>09/02/2025 04:07:37</t>
  </si>
  <si>
    <t>CentOS 7 (64-bit)</t>
  </si>
  <si>
    <t>vm-11657</t>
  </si>
  <si>
    <t>420ba949-8652-113d-5134-eb6d1402d7fa</t>
  </si>
  <si>
    <t>500bb3ee-f944-defd-07a8-13257b3f5999</t>
  </si>
  <si>
    <t>FLP0069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</si>
  <si>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</si>
  <si>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</si>
  <si>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</si>
  <si>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</si>
  <si>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</si>
  <si>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[54681897]  Client: [VCSATRIARA_EXT], Backup Set: [FIDUPREVISORA], Subclient: [FLP0069_FIDUPREVISORA_Rep]</t>
  </si>
  <si>
    <t>09/02/2025 04:00:11</t>
  </si>
  <si>
    <t>vm-82783</t>
  </si>
  <si>
    <t>423ee8b9-b1a3-e21e-13bf-36f84f087906</t>
  </si>
  <si>
    <t>503e2efa-dabd-0d7e-15bf-ae0b2da96693</t>
  </si>
  <si>
    <t>FLP0070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</si>
  <si>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</si>
  <si>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</si>
  <si>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</si>
  <si>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</si>
  <si>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</si>
  <si>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</si>
  <si>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[54681013]  Client: [VCSATRIARA_EXT], Backup Set: [FIDUPREVISORA], Subclient: [FLP0070_FIDUPREVISORA]</t>
  </si>
  <si>
    <t>09/02/2025 03:14:17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</si>
  <si>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</si>
  <si>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</si>
  <si>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</si>
  <si>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</si>
  <si>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</si>
  <si>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</si>
  <si>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</si>
  <si>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</si>
  <si>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</si>
  <si>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</si>
  <si>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</si>
  <si>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[54664689]  Client: [VCSATRIARA_EXT], Backup Set: [FIDUPREVISORA], Subclient: [FLP0071_FIDUPREVISORA]</t>
  </si>
  <si>
    <t>09/01/2025 18:04:27</t>
  </si>
  <si>
    <t>vm-11668</t>
  </si>
  <si>
    <t>420b0a5a-51df-16a1-cbab-5120b7024298</t>
  </si>
  <si>
    <t>500ba03a-b874-0b7b-fe0c-7dbce372ef57</t>
  </si>
  <si>
    <t>FLP0073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</si>
  <si>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</si>
  <si>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</si>
  <si>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</si>
  <si>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</si>
  <si>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</si>
  <si>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</si>
  <si>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[54676379]  Client: [VCSATRIARA_EXT], Backup Set: [FIDUPREVISORA], Subclient: [FLP0073]</t>
  </si>
  <si>
    <t>09/02/2025 00:34:28</t>
  </si>
  <si>
    <t>vm-82787</t>
  </si>
  <si>
    <t>420bf1ed-ebb3-11c3-5d3e-13a3df7fea49</t>
  </si>
  <si>
    <t>500b6ed9-bc5f-2eb8-39cb-6149959c790b</t>
  </si>
  <si>
    <t>FLP0084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</si>
  <si>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</si>
  <si>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</si>
  <si>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</si>
  <si>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</si>
  <si>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</si>
  <si>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</si>
  <si>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[54676380]  Client: [VCSATRIARA_EXT], Backup Set: [FIDUPREVISORA], Subclient: [FLP0084]</t>
  </si>
  <si>
    <t>09/02/2025 00:33:48</t>
  </si>
  <si>
    <t>Red Hat Enterprise Linux 6 (64-bit)</t>
  </si>
  <si>
    <t>vm-82788</t>
  </si>
  <si>
    <t>420bac5a-a7e8-12cb-1d60-1e185bc55cc8</t>
  </si>
  <si>
    <t>500bcf47-0787-59e3-194f-9eb55d2fe79b</t>
  </si>
  <si>
    <t>FLP0085</t>
  </si>
  <si>
    <t>FLP0085_FIDUPREVISORA_ELIMINAR</t>
  </si>
  <si>
    <t>arsen.fiduprevisora.com.co</t>
  </si>
  <si>
    <t>[D_TFM2647_R6_N2_ID018_OCTADECACORE02_4TB] FLP0085_FIDUPREVISORA_ELIMINAR/FLP0085_FIDUPREVISORA_ELIMINAR.vmx</t>
  </si>
  <si>
    <t>[D_TFM2647_R6_N2_ID018_OCTADECACORE02_4TB] FLP0085_FIDUPREVISORA_ELIMINAR/</t>
  </si>
  <si>
    <t>Backup Job ID [51741408]  Client: [VCSATRIARA_EXT], Backup Set: [FIDUPREVISORA], Subclient: [FLP0085]</t>
  </si>
  <si>
    <t>05/27/2025 00:39:48</t>
  </si>
  <si>
    <t>vm-82778</t>
  </si>
  <si>
    <t>420ba3ba-ac00-e836-286b-bfe767611b85</t>
  </si>
  <si>
    <t>500bb2d2-9428-b099-bf78-a34b298405f4</t>
  </si>
  <si>
    <t>FLP0089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</si>
  <si>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</si>
  <si>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</si>
  <si>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</si>
  <si>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</si>
  <si>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</si>
  <si>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[54663556]  Client: [VCSATRIARA_EXT], Backup Set: [FIDUPREVISORA], Subclient: [FLP0089_FIDUPREVISORA]</t>
  </si>
  <si>
    <t>09/01/2025 17:03:43</t>
  </si>
  <si>
    <t>vm-569568</t>
  </si>
  <si>
    <t>420741b4-e85c-5d01-4a67-814291e3d0c9</t>
  </si>
  <si>
    <t>5007df32-9746-0401-f1c0-f756ce17c373</t>
  </si>
  <si>
    <t>FLP0090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</si>
  <si>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</si>
  <si>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</si>
  <si>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</si>
  <si>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</si>
  <si>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</si>
  <si>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</si>
  <si>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[54676416]  Client: [VCSATRIARA_EXT], Backup Set: [FIDUPREVISORA], Subclient: [FLP0090]</t>
  </si>
  <si>
    <t>09/02/2025 00:37:56</t>
  </si>
  <si>
    <t>Microsoft Windows Server 2016 or later (64-bit)</t>
  </si>
  <si>
    <t>vm-84472</t>
  </si>
  <si>
    <t>423e3630-2517-c507-f653-ed6a4b1c15fd</t>
  </si>
  <si>
    <t>503e4529-fd50-ccd0-1ad3-90ac964a5e5b</t>
  </si>
  <si>
    <t>FLP0093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</si>
  <si>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</si>
  <si>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</si>
  <si>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</si>
  <si>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</si>
  <si>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</si>
  <si>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[54663557]  Client: [VCSATRIARA_EXT], Backup Set: [FIDUPREVISORA], Subclient: [FLP0093_FIDUPREVISORA]</t>
  </si>
  <si>
    <t>09/01/2025 17:03:54</t>
  </si>
  <si>
    <t>vm-11658</t>
  </si>
  <si>
    <t>420b40f4-e2b6-424b-2502-41af678852cb</t>
  </si>
  <si>
    <t>500bd690-30c5-1b91-f60e-210062a9f554</t>
  </si>
  <si>
    <t>FLP0096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</si>
  <si>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</si>
  <si>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</si>
  <si>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</si>
  <si>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</si>
  <si>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</si>
  <si>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</si>
  <si>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[54664690]  Client: [VCSATRIARA_EXT], Backup Set: [FIDUPREVISORA], Subclient: [FLP0096_FIDUPREVISORA_12FEB_REST]</t>
  </si>
  <si>
    <t>09/01/2025 18:05:17</t>
  </si>
  <si>
    <t>vm-11599</t>
  </si>
  <si>
    <t>420b31e9-5924-7d95-a25c-0a6107600835</t>
  </si>
  <si>
    <t>500bc7d8-0caf-954f-083d-2d8699f34efa</t>
  </si>
  <si>
    <t>FLP0100</t>
  </si>
  <si>
    <t>FLP0100_FIDUPREVISORA</t>
  </si>
  <si>
    <t>ZENON_UTT.fiduprevisora.com.co</t>
  </si>
  <si>
    <t>[D_TFM2647_R6_N2_ID019_OCTADECACORE02_4TB] FLP0100_FIDUPREVISORA/FLP0100_FIDUPREVISORA.vmx</t>
  </si>
  <si>
    <t>[D_TFM2647_R6_N2_ID019_OCTADECACORE02_4TB] FLP0100_FIDUPREVISORA/</t>
  </si>
  <si>
    <t>FOMAG_SERVIDOR DE PRUEBAS</t>
  </si>
  <si>
    <t>Backup Job ID [54663558]  Client: [VCSATRIARA_EXT], Backup Set: [FIDUPREVISORA], Subclient: [FLP0100_FIDUPREVISORA]</t>
  </si>
  <si>
    <t>09/01/2025 17:02:56</t>
  </si>
  <si>
    <t>vm-11569</t>
  </si>
  <si>
    <t>420b9a23-75bc-2bd2-456b-f88448458169</t>
  </si>
  <si>
    <t>500b6768-10e7-77d3-d9cc-275e8330d885</t>
  </si>
  <si>
    <t>FLP0105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</si>
  <si>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</si>
  <si>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</si>
  <si>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</si>
  <si>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</si>
  <si>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</si>
  <si>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</si>
  <si>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[54664691]  Client: [VCSATRIARA_EXT], Backup Set: [FIDUPREVISORA], Subclient: [FLP0105_FIDUPREVISORA]</t>
  </si>
  <si>
    <t>09/01/2025 18:06:14</t>
  </si>
  <si>
    <t>vm-11749</t>
  </si>
  <si>
    <t>420b4e76-670b-a2ec-09d3-92919144dea5</t>
  </si>
  <si>
    <t>500b9584-fbee-5334-5787-aa42d86e228e</t>
  </si>
  <si>
    <t>FLP0106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</si>
  <si>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</si>
  <si>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</si>
  <si>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</si>
  <si>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</si>
  <si>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</si>
  <si>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[54663559]  Client: [VCSATRIARA_EXT], Backup Set: [FIDUPREVISORA], Subclient: [FLP0106_FIDUPREVISORA]</t>
  </si>
  <si>
    <t>09/01/2025 17:03:06</t>
  </si>
  <si>
    <t>c-tfm2544-eq18-0207-ch121v3.datacenterdhs.local</t>
  </si>
  <si>
    <t>vm-11661</t>
  </si>
  <si>
    <t>420b355e-9931-8b3d-3654-c210dbff662b</t>
  </si>
  <si>
    <t>500be554-5d8c-99be-921c-dda78b7ec40b</t>
  </si>
  <si>
    <t>FLP0108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</si>
  <si>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</si>
  <si>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</si>
  <si>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</si>
  <si>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</si>
  <si>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</si>
  <si>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</si>
  <si>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</si>
  <si>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[54664751]  Client: [VCSATRIARA_EXT], Backup Set: [FIDUPREVISORA], Subclient: [FLP0108_FIDUPREVISORA_Rep]</t>
  </si>
  <si>
    <t>09/01/2025 18:05:34</t>
  </si>
  <si>
    <t>vm-2472556</t>
  </si>
  <si>
    <t>CentOS 4/5 (64-bit)</t>
  </si>
  <si>
    <t>CentOS 6 (64-bit)</t>
  </si>
  <si>
    <t>420713ea-3252-b47a-08cd-e32768953e0d</t>
  </si>
  <si>
    <t>50075ad4-6389-2063-fb54-b4badaab2322</t>
  </si>
  <si>
    <t>FLP0109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</si>
  <si>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</si>
  <si>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</si>
  <si>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</si>
  <si>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</si>
  <si>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</si>
  <si>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</si>
  <si>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[54663560]  Client: [VCSATRIARA_EXT], Backup Set: [FIDUPREVISORA], Subclient: [FLP0109_FIDUPREVISORA_ RF1258617]</t>
  </si>
  <si>
    <t>09/01/2025 17:02:31</t>
  </si>
  <si>
    <t>vm-11595</t>
  </si>
  <si>
    <t>420b45fe-af18-9710-31b9-213523ba247d</t>
  </si>
  <si>
    <t>500b161a-755c-41e6-a4cd-9e3d787ccf60</t>
  </si>
  <si>
    <t>FLP0110</t>
  </si>
  <si>
    <t>FLP0110_FIDUPREVISORA</t>
  </si>
  <si>
    <t>ezio.fiduprevisora.com.co</t>
  </si>
  <si>
    <t>172.27.25.40</t>
  </si>
  <si>
    <t>[H_TFM2263_R6_N2_ID013_OCTADECACORE02_2TB] FLP0110_FIDUPREVISORA/FLP0110_FIDUPREVISORA.vmx</t>
  </si>
  <si>
    <t>[H_TFM2263_R6_N2_ID013_OCTADECACORE02_2TB] FLP0110_FIDUPREVISORA/</t>
  </si>
  <si>
    <t>Backup Job ID [54664692]  Client: [VCSATRIARA_EXT], Backup Set: [FIDUPREVISORA], Subclient: [FLP0110_FIDUPREVISORA]</t>
  </si>
  <si>
    <t>09/01/2025 18:04:46</t>
  </si>
  <si>
    <t>vm-11660</t>
  </si>
  <si>
    <t>420b8ac5-05a0-9e52-c6d3-3d839f2a5b8c</t>
  </si>
  <si>
    <t>500b3b62-45ec-3e30-27ee-de57be4f111a</t>
  </si>
  <si>
    <t>FLP0111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</si>
  <si>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</si>
  <si>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</si>
  <si>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</si>
  <si>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</si>
  <si>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</si>
  <si>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[54663561]  Client: [VCSATRIARA_EXT], Backup Set: [FIDUPREVISORA], Subclient: [FLP0111_FIDUPREVISORA]</t>
  </si>
  <si>
    <t>09/01/2025 17:09:35</t>
  </si>
  <si>
    <t>vm-11551</t>
  </si>
  <si>
    <t>420bc066-36bd-b13c-a227-bf1871deb3b5</t>
  </si>
  <si>
    <t>500b41f9-7e3b-69e1-4acb-98c0085b7f76</t>
  </si>
  <si>
    <t>FLP0112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</si>
  <si>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</si>
  <si>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</si>
  <si>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</si>
  <si>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</si>
  <si>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</si>
  <si>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[54664693]  Client: [VCSATRIARA_EXT], Backup Set: [FIDUPREVISORA], Subclient: [FLP0112_FIDUPREVISORA]</t>
  </si>
  <si>
    <t>09/01/2025 18:05:48</t>
  </si>
  <si>
    <t>vm-11659</t>
  </si>
  <si>
    <t>420ba3d2-f665-fefe-462f-00116a346ddf</t>
  </si>
  <si>
    <t>500bb70a-1504-ea0f-8d54-ea1952f94af9</t>
  </si>
  <si>
    <t>FLP0114</t>
  </si>
  <si>
    <t>FLP0114_FIDUPREVISORA_Rep</t>
  </si>
  <si>
    <t>francia.fiduprevisora.com.co</t>
  </si>
  <si>
    <t>172.16.0.136</t>
  </si>
  <si>
    <t>[H_TFM2117_R6_N2_ID050_OCTADECACORE02_1.13TB] FLP0114_FIDUPREVISORA_Rep/FLP0114_FIDUPREVISORA_Rep.vmx</t>
  </si>
  <si>
    <t>[H_TFM2117_R6_N2_ID050_OCTADECACORE02_1.13TB] FLP0114_FIDUPREVISORA_Rep/</t>
  </si>
  <si>
    <t>Backup Job ID [54676372]  Client: [VCSATRIARA_EXT], Backup Set: [FIDUPREVISORA], Subclient: [FLP0114_FIDUPREVISORA_Rep]</t>
  </si>
  <si>
    <t>09/02/2025 00:35:54</t>
  </si>
  <si>
    <t>vm-82780</t>
  </si>
  <si>
    <t>420b5346-acdb-fc97-8e98-8cafab3d9919</t>
  </si>
  <si>
    <t>500b4346-568e-28ae-cf43-4ff01b7fafe5</t>
  </si>
  <si>
    <t>FLP0118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</si>
  <si>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</si>
  <si>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</si>
  <si>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</si>
  <si>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</si>
  <si>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</si>
  <si>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[54664695]  Client: [VCSATRIARA_EXT], Backup Set: [FIDUPREVISORA], Subclient: [FLP0118_FIDUPREVISORA]</t>
  </si>
  <si>
    <t>09/01/2025 18:04:09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</si>
  <si>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</si>
  <si>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</si>
  <si>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</si>
  <si>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</si>
  <si>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</si>
  <si>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</si>
  <si>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</si>
  <si>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</si>
  <si>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</si>
  <si>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</si>
  <si>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</si>
  <si>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</si>
  <si>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</si>
  <si>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</si>
  <si>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</si>
  <si>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</si>
  <si>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</si>
  <si>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[54664544]  Client: [VCSATRIARA_EXT], Backup Set: [FIDUPREVISORA], Subclient: [FLP0119_FIDUPREVISORA]</t>
  </si>
  <si>
    <t>09/01/2025 18:09:55</t>
  </si>
  <si>
    <t>vm-11609</t>
  </si>
  <si>
    <t>564dbcb9-6bc4-41f3-7440-8d9b40426e1d</t>
  </si>
  <si>
    <t>500b5efd-f9c3-92fb-1274-3b4a76d37288</t>
  </si>
  <si>
    <t>FLP0120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</si>
  <si>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</si>
  <si>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</si>
  <si>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</si>
  <si>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</si>
  <si>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</si>
  <si>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[54664698]  Client: [VCSATRIARA_EXT], Backup Set: [FIDUPREVISORA], Subclient: [FLP0120_FIDUPREVISORA]</t>
  </si>
  <si>
    <t>09/01/2025 18:06:01</t>
  </si>
  <si>
    <t>vm-11568</t>
  </si>
  <si>
    <t>420b7f01-82f9-0048-c7e0-18593680a255</t>
  </si>
  <si>
    <t>500b54f2-657f-b560-c27c-73e4eb0bc3f6</t>
  </si>
  <si>
    <t>FLP0121</t>
  </si>
  <si>
    <t>FLP0121_CLON_RF1611346</t>
  </si>
  <si>
    <t>ganimedestest.fiduprevisora.com.co</t>
  </si>
  <si>
    <t>172.16.0.18</t>
  </si>
  <si>
    <t>[D_TFM2647_R6_N2_ID024_OCTADECACORE02_4TB] FLP0121_CLON_RF1611346/FLP0121_CLON_RF1611346.vmx</t>
  </si>
  <si>
    <t>[D_TFM2647_R6_N2_ID024_OCTADECACORE02_4TB] FLP0121_CLON_RF1611346/</t>
  </si>
  <si>
    <t>Backup Job ID [54540396]  Client: [VCSATRIARA_EXT], Backup Set: [FIDUPREVISORA], Subclient: [FLP0121_CLON_RF1611346]</t>
  </si>
  <si>
    <t>08/28/2025 17:59:48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</si>
  <si>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</si>
  <si>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</si>
  <si>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</si>
  <si>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</si>
  <si>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</si>
  <si>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</si>
  <si>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[D_TFM2647_R6_N2_ID002_OCTADECACORE02_4TB] FLP0121_FIDUPREVISORA/FLP0121_FIDUPREVISORA.vmx</t>
  </si>
  <si>
    <t>[D_TFM2647_R6_N2_ID002_OCTADECACORE02_4TB] FLP0121_FIDUPREVISORA/</t>
  </si>
  <si>
    <t>Backup Job ID [54676381]  Client: [VCSATRIARA_EXT], Backup Set: [FIDUPREVISORA], Subclient: [FLP0121]</t>
  </si>
  <si>
    <t>09/02/2025 00:37:52</t>
  </si>
  <si>
    <t>vm-82796</t>
  </si>
  <si>
    <t>420b5e1e-f71e-eacd-9fb3-30b8f1cfb868</t>
  </si>
  <si>
    <t>500b1b95-e83c-304c-dacd-65814afb9445</t>
  </si>
  <si>
    <t>FLP0122</t>
  </si>
  <si>
    <t>FLP0122_FIDUPREVISORA_ELIMINAR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</si>
  <si>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</si>
  <si>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</si>
  <si>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</si>
  <si>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Backup Job ID [51759107]  Client: [VCSATRIARA_EXT], Backup Set: [FIDUPREVISORA], Subclient: [FLP0122_FIDUPREVISORA]</t>
  </si>
  <si>
    <t>05/27/2025 17:08:02</t>
  </si>
  <si>
    <t>vm-11566</t>
  </si>
  <si>
    <t>420befb8-adb8-0a66-66ba-a620e07f56b1</t>
  </si>
  <si>
    <t>500bbbad-ff40-69e9-1ffe-bcd3dfc04ab8</t>
  </si>
  <si>
    <t>FLP0127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</si>
  <si>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</si>
  <si>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</si>
  <si>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</si>
  <si>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</si>
  <si>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</si>
  <si>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</si>
  <si>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</si>
  <si>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</si>
  <si>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</si>
  <si>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</si>
  <si>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</si>
  <si>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</si>
  <si>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</si>
  <si>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</si>
  <si>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[54676382]  Client: [VCSATRIARA_EXT], Backup Set: [FIDUPREVISORA], Subclient: [FLP0129]</t>
  </si>
  <si>
    <t>09/02/2025 00:33:08</t>
  </si>
  <si>
    <t>vm-1431570</t>
  </si>
  <si>
    <t>4213484a-25f6-ced2-9e39-0a8eb2da45bf</t>
  </si>
  <si>
    <t>5013f9e8-c139-42fe-604f-8572f4942736</t>
  </si>
  <si>
    <t>FLP0133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</si>
  <si>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</si>
  <si>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</si>
  <si>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</si>
  <si>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</si>
  <si>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</si>
  <si>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[54676296]  Client: [VCSATRIARA_EXT], Backup Set: [FIDUPREVISORA], Subclient: [FLP0133_FIDUPREVISORA]</t>
  </si>
  <si>
    <t>09/02/2025 00:32:52</t>
  </si>
  <si>
    <t>vm-11590</t>
  </si>
  <si>
    <t>420bdba1-f378-cf5c-6215-c96d5ab021ce</t>
  </si>
  <si>
    <t>500b29c3-2c1e-143d-ff89-098a5c443395</t>
  </si>
  <si>
    <t>FLP0136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</si>
  <si>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</si>
  <si>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</si>
  <si>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</si>
  <si>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</si>
  <si>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[54676298]  Client: [VCSATRIARA_EXT], Backup Set: [FIDUPREVISORA], Subclient: [FLP0136_FIDUPREVISORA]</t>
  </si>
  <si>
    <t>09/02/2025 00:33:11</t>
  </si>
  <si>
    <t>vm-11688</t>
  </si>
  <si>
    <t>420b619b-f12a-93ab-8978-8a5962526848</t>
  </si>
  <si>
    <t>500b4beb-b7d2-634c-0f16-3fba9f119442</t>
  </si>
  <si>
    <t>FLP0140</t>
  </si>
  <si>
    <t>FLP0140_FIDUPREVISORA_Rep</t>
  </si>
  <si>
    <t>JUPITER.fiduprevisora.com.co</t>
  </si>
  <si>
    <t>172.27.24.182</t>
  </si>
  <si>
    <t>[H_TFM2117_R6_N2_ID048_OCTADECACORE02_4TB] FLP0140_FIDUPREVISORA_Rep/FLP0140_FIDUPREVISORA_Rep.vmx</t>
  </si>
  <si>
    <t>[H_TFM2117_R6_N2_ID048_OCTADECACORE02_4TB] FLP0140_FIDUPREVISORA_Rep/</t>
  </si>
  <si>
    <t>Backup Job ID [54676373]  Client: [VCSATRIARA_EXT], Backup Set: [FIDUPREVISORA], Subclient: [FLP0140_FIDUPREVISORA_Rep]</t>
  </si>
  <si>
    <t>09/02/2025 00:35:30</t>
  </si>
  <si>
    <t>vm-82797</t>
  </si>
  <si>
    <t>423ec117-8b3d-e5d2-b698-e6e555109ce0</t>
  </si>
  <si>
    <t>503e9817-73f2-c139-176a-0e0ef497fa1d</t>
  </si>
  <si>
    <t>FLP0148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</si>
  <si>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</si>
  <si>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</si>
  <si>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</si>
  <si>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</si>
  <si>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</si>
  <si>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</si>
  <si>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[54681014]  Client: [VCSATRIARA_EXT], Backup Set: [FIDUPREVISORA], Subclient: [FLP0148_FIDUPREVISORA]</t>
  </si>
  <si>
    <t>09/02/2025 03:12:50</t>
  </si>
  <si>
    <t>vm-11720</t>
  </si>
  <si>
    <t>420b34bd-7b81-1e88-5a8f-cdb9b8c2bdac</t>
  </si>
  <si>
    <t>500b8837-a3f6-ea66-1c67-04bcf8a36c7b</t>
  </si>
  <si>
    <t>FLP0149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</si>
  <si>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</si>
  <si>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</si>
  <si>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</si>
  <si>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</si>
  <si>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</si>
  <si>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</si>
  <si>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[54676374]  Client: [VCSATRIARA_EXT], Backup Set: [FIDUPREVISORA], Subclient: [FLP0149_FIDUPREVISORA_Rep]</t>
  </si>
  <si>
    <t>09/02/2025 00:36:21</t>
  </si>
  <si>
    <t>vm-84516</t>
  </si>
  <si>
    <t>420b75ce-f781-8716-1348-dfc1a34fbc2a</t>
  </si>
  <si>
    <t>500bb433-b939-c945-09ae-b22eb0728d93</t>
  </si>
  <si>
    <t>FLP0158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</si>
  <si>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</si>
  <si>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</si>
  <si>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</si>
  <si>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</si>
  <si>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</si>
  <si>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</si>
  <si>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</si>
  <si>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</si>
  <si>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</si>
  <si>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</si>
  <si>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</si>
  <si>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</si>
  <si>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</si>
  <si>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[54668147]  Client: [VCSATRIARA_EXT], Backup Set: [FIDUPREVISORA], Subclient: [FLP0158_FIDUPREVISORA_Rep]</t>
  </si>
  <si>
    <t>09/01/2025 20:19:28</t>
  </si>
  <si>
    <t>vm-83241</t>
  </si>
  <si>
    <t>CLT310_TRI_COM_OCTADECACORE06_ACI</t>
  </si>
  <si>
    <t>c-tfm3138-fbe38-0204-sn550g2.datacenterdhs.local</t>
  </si>
  <si>
    <t>423ed5ba-f6c7-dea5-d24b-996e46213995</t>
  </si>
  <si>
    <t>503edc50-6d31-f1fd-4896-2b32e5ce70bb</t>
  </si>
  <si>
    <t>FLP0159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</si>
  <si>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</si>
  <si>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</si>
  <si>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</si>
  <si>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</si>
  <si>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</si>
  <si>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[54668149]  Client: [VCSATRIARA_EXT], Backup Set: [FIDUPREVISORA], Subclient: [FLP0159_FIDUPREVISORA]</t>
  </si>
  <si>
    <t>09/01/2025 20:19:09</t>
  </si>
  <si>
    <t>vm-83194</t>
  </si>
  <si>
    <t>423e1b49-44ba-04be-fae8-a0e6cb0ead53</t>
  </si>
  <si>
    <t>503e37d2-d945-498f-0966-5a8417be3b98</t>
  </si>
  <si>
    <t>FLP0164</t>
  </si>
  <si>
    <t>FLP0164_EXP-E01</t>
  </si>
  <si>
    <t>exp-e-flp01</t>
  </si>
  <si>
    <t>intel-westmere</t>
  </si>
  <si>
    <t>10.173.253.152</t>
  </si>
  <si>
    <t>DGP_CLT101_TELEFONIA_V1650_EXP1</t>
  </si>
  <si>
    <t>DGP_CLT101_TELEFONIA_V1649_EXP1</t>
  </si>
  <si>
    <t>VM Network</t>
  </si>
  <si>
    <t>/VDC001_TRI_CENTRALIZADO/FCL001_DEDICADOS/CLT101_TRI_DED_COLABORACION_TELEFONIA/Resources/RSP_FIDU_PREVISORA</t>
  </si>
  <si>
    <t>group-v1002</t>
  </si>
  <si>
    <t>/VDC001_TRI_CENTRALIZADO</t>
  </si>
  <si>
    <t>[H_TFM3814_R6_N1_ID003_COLABORACION_4TB] C28_Telefonia_FLP0164/C28_Telefonia_FLP0164.vmx</t>
  </si>
  <si>
    <t>[H_TFM3814_R6_N1_ID003_COLABORACION_4TB] C28_Telefonia_FLP0164/</t>
  </si>
  <si>
    <t>Cisco Expressway/VCS Base</t>
  </si>
  <si>
    <t>VDC001_TRI_CENTRALIZADO</t>
  </si>
  <si>
    <t>CLT101_TRI_DED_COLABORACION_TELEFONIA</t>
  </si>
  <si>
    <t>d-tfm4401-cn29-08-dl360g10.datacenterdhs.local</t>
  </si>
  <si>
    <t>Other (32-bit)</t>
  </si>
  <si>
    <t>Other 4.x Linux (64-bit)</t>
  </si>
  <si>
    <t>bitness='64' distroName='Linux' familyName='Linux' kernelVersion='5.16.0'</t>
  </si>
  <si>
    <t>vm-226778</t>
  </si>
  <si>
    <t>423fed4d-9818-6dc2-b148-59d4758c8b7b</t>
  </si>
  <si>
    <t>503fcea0-d9d6-c196-9178-270d874a9853</t>
  </si>
  <si>
    <t>172.22.1.133</t>
  </si>
  <si>
    <t>7a93d75d-f4ee-4ec8-b02b-6341579c7639</t>
  </si>
  <si>
    <t>FLP0165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</si>
  <si>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</si>
  <si>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</si>
  <si>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</si>
  <si>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</si>
  <si>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</si>
  <si>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</si>
  <si>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</si>
  <si>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[54668135]  Client: [VCSATRIARA_EXT], Backup Set: [FIDUPREVISORA], Subclient: [FLP0165_FIDUPREVISORA]</t>
  </si>
  <si>
    <t>09/01/2025 20:14:52</t>
  </si>
  <si>
    <t>c-tfm3144-fbe38-0210-sn550g2.datacenterdhs.local</t>
  </si>
  <si>
    <t>vm-53447</t>
  </si>
  <si>
    <t>423e642c-b08f-6f7d-aef5-e91b8ffbd104</t>
  </si>
  <si>
    <t>503e7d37-8640-9b24-f0e1-08801829bf1a</t>
  </si>
  <si>
    <t>FLP0175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</si>
  <si>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</si>
  <si>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</si>
  <si>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</si>
  <si>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</si>
  <si>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</si>
  <si>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[54666097]  Client: [VCSATRIARA_EXT], Backup Set: [FIDUPREVISORA], Subclient: [FLP0175_FIDUPREVISORA]</t>
  </si>
  <si>
    <t>09/01/2025 19:11:26</t>
  </si>
  <si>
    <t>c-tfm3146-fbe38-0212-sn550g2.datacenterdhs.local</t>
  </si>
  <si>
    <t>vm-53446</t>
  </si>
  <si>
    <t>423e0602-cd02-cd01-8c1b-23a340cf73b1</t>
  </si>
  <si>
    <t>503ee94b-f7dc-09c0-930b-f8da51c22c90</t>
  </si>
  <si>
    <t>FLP0208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</si>
  <si>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</si>
  <si>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</si>
  <si>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</si>
  <si>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</si>
  <si>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</si>
  <si>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</si>
  <si>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[54676375]  Client: [VCSATRIARA_EXT], Backup Set: [FIDUPREVISORA], Subclient: [FLP0208_FIDUPREVISORA_Rep]</t>
  </si>
  <si>
    <t>vm-82799</t>
  </si>
  <si>
    <t>420b6dba-a401-735f-f16b-51d9b2aea254</t>
  </si>
  <si>
    <t>500b9db9-aa3b-b1c0-6dbc-904b0449bbd5</t>
  </si>
  <si>
    <t>FLP0209</t>
  </si>
  <si>
    <t>FLP0209_FIDUPREVISORA</t>
  </si>
  <si>
    <t>HOBBES.fiduprevisora.com.co</t>
  </si>
  <si>
    <t>172.16.0.231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</si>
  <si>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</si>
  <si>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</si>
  <si>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</si>
  <si>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[54676838]  Client: [VCSATRIARA_EXT], Backup Set: [FIDUPREVISORA], Subclient: [FLP0209_FIDUPREVISORA]</t>
  </si>
  <si>
    <t>09/02/2025 01:10:08</t>
  </si>
  <si>
    <t>vm-35360</t>
  </si>
  <si>
    <t>420ba62e-342b-bce4-3ff4-15b3a4aae163</t>
  </si>
  <si>
    <t>500bd926-a163-2ccc-d5aa-c5c978aea3e0</t>
  </si>
  <si>
    <t>FLP0231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</si>
  <si>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</si>
  <si>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</si>
  <si>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</si>
  <si>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</si>
  <si>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</si>
  <si>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</si>
  <si>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</si>
  <si>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</si>
  <si>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</si>
  <si>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</si>
  <si>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[54668672]  Client: [vcsareptri-Ort], Backup Set: [FIDUPREVISORA], Subclient: [FLP0231_FIDUPREVISORA]</t>
  </si>
  <si>
    <t>09/01/2025 20:33:05</t>
  </si>
  <si>
    <t>Datacenter_Triara</t>
  </si>
  <si>
    <t>CLT308_TRI_COM_OCTADECACORE04_FP</t>
  </si>
  <si>
    <t>c-tfm4129-cj06-0216-ch121v5.datacenterdhs.local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</si>
  <si>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</si>
  <si>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</si>
  <si>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</si>
  <si>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</si>
  <si>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</si>
  <si>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FLP0232</t>
  </si>
  <si>
    <t>FLP0232_FIDUPREVISORA</t>
  </si>
  <si>
    <t>WIN-O1H0CR8LN15</t>
  </si>
  <si>
    <t>172.16.0.53</t>
  </si>
  <si>
    <t>[D_TFM2647_R6_N2_ID003_OCTADECACORE02_4TB] FLP0232_FIDUPREVISORA/FLP0232_FIDUPREVISORA.vmx</t>
  </si>
  <si>
    <t>[D_TFM2647_R6_N2_ID003_OCTADECACORE02_4TB] FLP0232_FIDUPREVISORA/</t>
  </si>
  <si>
    <t>Backup Job ID [54678669]  Client: [VCSATRIARA_EXT], Backup Set: [FIDUPREVISORA], Subclient: [FLP0232_FIDUPREVISORA]</t>
  </si>
  <si>
    <t>09/02/2025 02:17:13</t>
  </si>
  <si>
    <t>vm-11545</t>
  </si>
  <si>
    <t>420b0d84-93ee-80bf-45a4-4e3d522079c9</t>
  </si>
  <si>
    <t>500b7d9c-3833-8f27-d008-fdaa217f1dee</t>
  </si>
  <si>
    <t>FLP0234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</si>
  <si>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</si>
  <si>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</si>
  <si>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</si>
  <si>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</si>
  <si>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</si>
  <si>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</si>
  <si>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Microsoft Windows Server 2012 R2 Estandar (Ingles) para GesTIona</t>
  </si>
  <si>
    <t>Backup Job ID [54666338]  Client: [vcsareptri-Ort], Backup Set: [FIDUPREVISORA], Subclient: [FLP0234_FIDUPREVISORA]</t>
  </si>
  <si>
    <t>09/01/2025 19:09:48</t>
  </si>
  <si>
    <t>c-tfm2533-cj06-0207-ch121v5.datacenterdhs.local</t>
  </si>
  <si>
    <t>vm-40090</t>
  </si>
  <si>
    <t>420b9dbe-0280-f303-c3bf-f6e8200cdd8f</t>
  </si>
  <si>
    <t>500bd7cb-6876-b582-f6df-f58b763a74aa</t>
  </si>
  <si>
    <t>FLP0241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</si>
  <si>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</si>
  <si>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</si>
  <si>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</si>
  <si>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</si>
  <si>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</si>
  <si>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</si>
  <si>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</si>
  <si>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</si>
  <si>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</si>
  <si>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[54666087]  Client: [VCSATRIARA_EXT], Backup Set: [FIDUPREVISORA], Subclient: [FLP0241_FIDUPREVISORA]</t>
  </si>
  <si>
    <t>09/01/2025 19:08:19</t>
  </si>
  <si>
    <t>CLT309_TRI_COM_OCTADECACORE05_ACI</t>
  </si>
  <si>
    <t>c-tfm3137-fbe38-0203-sn550g2.datacenterdhs.local</t>
  </si>
  <si>
    <t>vm-51267</t>
  </si>
  <si>
    <t>423ec57e-29ae-95b7-24b9-fe46fa2a6bd6</t>
  </si>
  <si>
    <t>503eafca-7123-ebd4-9e9c-871fd010c110</t>
  </si>
  <si>
    <t>FLP0243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</si>
  <si>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</si>
  <si>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</si>
  <si>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</si>
  <si>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</si>
  <si>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</si>
  <si>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</si>
  <si>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</si>
  <si>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[54664670]  Client: [vcsareptri-Ort], Backup Set: [FIDUPREVISORA], Subclient: [FLP0243_FIDUPREVISORA]</t>
  </si>
  <si>
    <t>09/01/2025 18:04:24</t>
  </si>
  <si>
    <t>c-tfm2534-cj06-0205-ch121v5.datacenterdhs.local</t>
  </si>
  <si>
    <t>Oracle Linux 7 (64-bit)</t>
  </si>
  <si>
    <t>vm-40074</t>
  </si>
  <si>
    <t>420bbb46-c760-8727-665f-2960e9361baa</t>
  </si>
  <si>
    <t>500b1393-ef9c-3fe6-a9b1-03fc2db553ca</t>
  </si>
  <si>
    <t>FLP0245</t>
  </si>
  <si>
    <t>FLP0245_FIDUPREVISORA_IM1518876</t>
  </si>
  <si>
    <t>TESEO.fiduprevisora.com.co</t>
  </si>
  <si>
    <t>172.16.0.57</t>
  </si>
  <si>
    <t>DPG_CLT315_MGT_PVLAN_2495-2496_OCTADECACORE10</t>
  </si>
  <si>
    <t>[H_TFM1765_R6_N4_ID021_OCTADECACORE_3.6TB] FLP0245_FIDUPREVISORA_IM1518876/FLP0245_FIDUPREVISORA_IM1518876.vmx</t>
  </si>
  <si>
    <t>[H_TFM1765_R6_N4_ID021_OCTADECACORE_3.6TB] FLP0245_FIDUPREVISORA_IM1518876/</t>
  </si>
  <si>
    <t>Backup Job ID [54676872]  Client: [VCSATRIARA_EXT], Backup Set: [FIDUPREVISORA], Subclient: [FLP0245]</t>
  </si>
  <si>
    <t>09/02/2025 01:11:50</t>
  </si>
  <si>
    <t>vm-2503006</t>
  </si>
  <si>
    <t>4210f31f-40bf-e1fd-6710-9e5de1b2df97</t>
  </si>
  <si>
    <t>50109dc5-f2cd-df17-5067-e6d7320b5616</t>
  </si>
  <si>
    <t>FLP0276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</si>
  <si>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</si>
  <si>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</si>
  <si>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</si>
  <si>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</si>
  <si>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</si>
  <si>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</si>
  <si>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</si>
  <si>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[54664712]  Client: [VCSATRIARA_EXT], Backup Set: [FIDUPREVISORA], Subclient: [FLP0276_FIDUPREVISORA]</t>
  </si>
  <si>
    <t>09/01/2025 18:08:50</t>
  </si>
  <si>
    <t>c-tfm3143-fbe38-0209-sn550g2.datacenterdhs.local</t>
  </si>
  <si>
    <t>vm-51248</t>
  </si>
  <si>
    <t>423ee8e6-e94e-e1dd-4412-6a42556deee1</t>
  </si>
  <si>
    <t>503e4554-4d48-7f30-5752-1e9114461134</t>
  </si>
  <si>
    <t>FLP0277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</si>
  <si>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</si>
  <si>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</si>
  <si>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</si>
  <si>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</si>
  <si>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</si>
  <si>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</si>
  <si>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</si>
  <si>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</si>
  <si>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</si>
  <si>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</si>
  <si>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</si>
  <si>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[54664646]  Client: [VCSAORTEZAL], Backup Set: [FIDUPREVISORA], Subclient: [FLP0277]</t>
  </si>
  <si>
    <t>9/1/2025 6:08:38 PM</t>
  </si>
  <si>
    <t>VDC001_ORT_CENTRALIZADO_CLI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</si>
  <si>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</si>
  <si>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</si>
  <si>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</si>
  <si>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</si>
  <si>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</si>
  <si>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</si>
  <si>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</si>
  <si>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FLP0326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</si>
  <si>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</si>
  <si>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</si>
  <si>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</si>
  <si>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</si>
  <si>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</si>
  <si>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</si>
  <si>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</si>
  <si>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[52123412]  Client: [VCSATRIARA_EXT], Backup Set: [FIDUPREVISORA], Subclient: [FLP0326_FIDUPREVISORA_APPLIANCE]</t>
  </si>
  <si>
    <t>06/08/2025 20:09:03</t>
  </si>
  <si>
    <t>c-tfm3141-fbe38-0207-sn550g2.datacenterdhs.local</t>
  </si>
  <si>
    <t>CentOS 4/5/6 (64-bit)</t>
  </si>
  <si>
    <t>vm-83191</t>
  </si>
  <si>
    <t>423ed728-4d74-dd0e-c1f5-9e6120a7dae0</t>
  </si>
  <si>
    <t>503e9434-deea-9fa5-64ea-385bf59fa8e6</t>
  </si>
  <si>
    <t>FLP0373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</si>
  <si>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</si>
  <si>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</si>
  <si>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</si>
  <si>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</si>
  <si>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</si>
  <si>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</si>
  <si>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[54663579]  Client: [VCSATRIARA_EXT], Backup Set: [FIDUPREVISORA], Subclient: [FLP0373_FIDUPREVISORA_Rep]</t>
  </si>
  <si>
    <t>09/01/2025 17:04:31</t>
  </si>
  <si>
    <t>vm-83242</t>
  </si>
  <si>
    <t>423eaa5e-c071-385a-049b-58a8e859cd90</t>
  </si>
  <si>
    <t>503e8229-974c-0f82-5ed9-0193f31cd8a7</t>
  </si>
  <si>
    <t>FLP0375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</si>
  <si>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</si>
  <si>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</si>
  <si>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</si>
  <si>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</si>
  <si>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</si>
  <si>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</si>
  <si>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</si>
  <si>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</si>
  <si>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</si>
  <si>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[54666225]  Client: [VCSATRIARA_EXT], Backup Set: [FIDUPREVISORA], Subclient: [FLP0375_FIDUPREVISORA]</t>
  </si>
  <si>
    <t>09/01/2025 19:13:44</t>
  </si>
  <si>
    <t>c-tfm3145-fbe38-0211-sn550g2.datacenterdhs.local</t>
  </si>
  <si>
    <t>vm-83221</t>
  </si>
  <si>
    <t>423e9b22-7b3d-3dd5-3ac1-d56a10808023</t>
  </si>
  <si>
    <t>503ee4c5-fc61-33b9-e582-c6bf46e3d525</t>
  </si>
  <si>
    <t>FLP0377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</si>
  <si>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</si>
  <si>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</si>
  <si>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</si>
  <si>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</si>
  <si>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</si>
  <si>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[52121443]  Client: [VCSATRIARA_EXT], Backup Set: [FIDUPREVISORA], Subclient: [FLP0377_FIDUPREVISORA_APPLIANCE]</t>
  </si>
  <si>
    <t>06/08/2025 20:15:58</t>
  </si>
  <si>
    <t>vm-53395</t>
  </si>
  <si>
    <t>423e1d7f-23a6-c492-01a7-6611f6d7db46</t>
  </si>
  <si>
    <t>503e6a6e-7766-8da2-fbda-621e066d4ce1</t>
  </si>
  <si>
    <t>FLP0378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</si>
  <si>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</si>
  <si>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</si>
  <si>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</si>
  <si>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</si>
  <si>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</si>
  <si>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[54668652]  Client: [VCSATRIARA_EXT], Backup Set: [FIDUPREVISORA], Subclient: [FLP0378_FIDUPREVISORA]</t>
  </si>
  <si>
    <t>09/01/2025 20:33:53</t>
  </si>
  <si>
    <t>vm-82769</t>
  </si>
  <si>
    <t>423ee589-3eea-2328-f512-9ab8b9a8ec3a</t>
  </si>
  <si>
    <t>503e4c75-d36c-bbb6-662a-b1590142b8ed</t>
  </si>
  <si>
    <t>FLP0390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</si>
  <si>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</si>
  <si>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</si>
  <si>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</si>
  <si>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</si>
  <si>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</si>
  <si>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[54676414]  Client: [VCSATRIARA_EXT], Backup Set: [FIDUPREVISORA], Subclient: [FLP0390_FIDUPREVISORA]</t>
  </si>
  <si>
    <t>09/02/2025 00:34:10</t>
  </si>
  <si>
    <t>SUSE openSUSE (64-bit)</t>
  </si>
  <si>
    <t>vm-341030</t>
  </si>
  <si>
    <t>4207211f-9b5f-18ce-686b-ee201d458cef</t>
  </si>
  <si>
    <t>5007e503-981a-a4db-10b1-95fdc5e250f0</t>
  </si>
  <si>
    <t>FLP0391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</si>
  <si>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</si>
  <si>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</si>
  <si>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</si>
  <si>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</si>
  <si>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[54676415]  Client: [VCSATRIARA_EXT], Backup Set: [FIDUPREVISORA], Subclient: [FLP0391_FIDUPREVISORA]</t>
  </si>
  <si>
    <t>Other Linux (64-bit)</t>
  </si>
  <si>
    <t>vm-578823</t>
  </si>
  <si>
    <t>420791d5-c743-f75b-90bd-adfa3850f457</t>
  </si>
  <si>
    <t>50071e67-31a9-d22d-45df-2332170abc2d</t>
  </si>
  <si>
    <t>FLP0393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</si>
  <si>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</si>
  <si>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</si>
  <si>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</si>
  <si>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</si>
  <si>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</si>
  <si>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[54676384]  Client: [VCSATRIARA_EXT], Backup Set: [FIDUPREVISORA], Subclient: [FLP0393_FIDUPREVISORA]</t>
  </si>
  <si>
    <t>09/02/2025 00:36:52</t>
  </si>
  <si>
    <t>vm-83183</t>
  </si>
  <si>
    <t>423e1ed4-1727-79b3-3b04-44b77f3b85a7</t>
  </si>
  <si>
    <t>503e045b-0b24-0a85-e2b3-d62d84bcc269</t>
  </si>
  <si>
    <t>FLP0417</t>
  </si>
  <si>
    <t>FLP0417_ELIMINACION</t>
  </si>
  <si>
    <t>serverapp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</si>
  <si>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</si>
  <si>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</si>
  <si>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</si>
  <si>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</si>
  <si>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</si>
  <si>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</si>
  <si>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</si>
  <si>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</si>
  <si>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503e5149-9d13-cdbf-8157-4deafd797cce</t>
  </si>
  <si>
    <t>FLP0418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</si>
  <si>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</si>
  <si>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</si>
  <si>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</si>
  <si>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</si>
  <si>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</si>
  <si>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</si>
  <si>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[54667752]  Client: [VCSATRIARA_EXT], Backup Set: [FIDUPREVISORA], Subclient: [FLP0418_FIDUPREVISORA]</t>
  </si>
  <si>
    <t>09/01/2025 20:03:52</t>
  </si>
  <si>
    <t>vm-35386</t>
  </si>
  <si>
    <t>423e69f2-7a75-bb58-b00b-1041136870fa</t>
  </si>
  <si>
    <t>503e14b8-19f4-3c9a-7d4a-97f608546a70</t>
  </si>
  <si>
    <t>FLP0419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</si>
  <si>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</si>
  <si>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</si>
  <si>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</si>
  <si>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</si>
  <si>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</si>
  <si>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[54681065]  Client: [VCSATRIARA_EXT], Backup Set: [FIDUPREVISORA], Subclient: [FLP0419_FIDUPREVISORA]</t>
  </si>
  <si>
    <t>09/02/2025 03:14:45</t>
  </si>
  <si>
    <t>vm-1390492</t>
  </si>
  <si>
    <t>423e0a05-0caf-69ad-90ba-cbdeee9dc447</t>
  </si>
  <si>
    <t>503eaee7-21d6-359a-e6e7-f6cda2e42708</t>
  </si>
  <si>
    <t>FLP0478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</si>
  <si>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</si>
  <si>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</si>
  <si>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</si>
  <si>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</si>
  <si>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</si>
  <si>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</si>
  <si>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[54667149]  Client: [VCSATRIARA_EXT], Backup Set: [FIDUPREVISORA], Subclient: [FLP0478]</t>
  </si>
  <si>
    <t>09/01/2025 19:36:21</t>
  </si>
  <si>
    <t>Operacion</t>
  </si>
  <si>
    <t>vm-219768</t>
  </si>
  <si>
    <t>42072b17-f049-0a50-831f-e6b688d8abef</t>
  </si>
  <si>
    <t>5007ca46-b026-9b85-c415-c5a43d825550</t>
  </si>
  <si>
    <t>FLP0479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</si>
  <si>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</si>
  <si>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</si>
  <si>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</si>
  <si>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</si>
  <si>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</si>
  <si>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[54667147]  Client: [VCSATRIARA_EXT], Backup Set: [FIDUPREVISORA], Subclient: [FLP0479]</t>
  </si>
  <si>
    <t>09/01/2025 19:38:35</t>
  </si>
  <si>
    <t>vm-219769</t>
  </si>
  <si>
    <t>4207264c-bb20-a102-e18e-7d60e17f5308</t>
  </si>
  <si>
    <t>5007c92b-a55d-ad8a-e980-de9aceb4c410</t>
  </si>
  <si>
    <t>FLP0480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</si>
  <si>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</si>
  <si>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</si>
  <si>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</si>
  <si>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</si>
  <si>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</si>
  <si>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[54663603]  Client: [VCSATRIARA_EXT], Backup Set: [FIDUPREVISORA], Subclient: [FLP0480]</t>
  </si>
  <si>
    <t>09/01/2025 17:11:10</t>
  </si>
  <si>
    <t>vm-398896</t>
  </si>
  <si>
    <t>42076699-ea5a-9902-43b4-79f1776357d4</t>
  </si>
  <si>
    <t>5007b9f9-d653-1c1c-16da-43b8c8f9ac8d</t>
  </si>
  <si>
    <t>FLP0481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</si>
  <si>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</si>
  <si>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</si>
  <si>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</si>
  <si>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</si>
  <si>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</si>
  <si>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</si>
  <si>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[54664789]  Client: [VCSATRIARA_EXT], Backup Set: [FIDUPREVISORA], Subclient: [FLP0481]</t>
  </si>
  <si>
    <t>09/01/2025 18:14:22</t>
  </si>
  <si>
    <t>vm-394685</t>
  </si>
  <si>
    <t>c-tfm4569-gaf03-08-sr645.datacenterdhs.local</t>
  </si>
  <si>
    <t>4207000c-b68e-f782-f9a5-4d76f67dd230</t>
  </si>
  <si>
    <t>50074dd3-4c9d-7141-a148-8113315ab15b</t>
  </si>
  <si>
    <t>FLP0482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</si>
  <si>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</si>
  <si>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</si>
  <si>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</si>
  <si>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</si>
  <si>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</si>
  <si>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[54663604]  Client: [VCSATRIARA_EXT], Backup Set: [FIDUPREVISORA], Subclient: [FLP0482]</t>
  </si>
  <si>
    <t>09/01/2025 17:07:41</t>
  </si>
  <si>
    <t>vm-394670</t>
  </si>
  <si>
    <t>4207a8aa-efef-e31e-c7c2-526845cf3b2f</t>
  </si>
  <si>
    <t>500784ad-0c5a-d1cb-f405-599dbe0dc387</t>
  </si>
  <si>
    <t>FLP0484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</si>
  <si>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</si>
  <si>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</si>
  <si>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</si>
  <si>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[54663605]  Client: [VCSATRIARA_EXT], Backup Set: [FIDUPREVISORA], Subclient: [FLP0484]</t>
  </si>
  <si>
    <t>09/01/2025 17:09:09</t>
  </si>
  <si>
    <t>vm-398898</t>
  </si>
  <si>
    <t>42079c81-55c1-b882-cb82-452a51949a0b</t>
  </si>
  <si>
    <t>5007ca56-af62-f927-412b-a12f36e78c58</t>
  </si>
  <si>
    <t>FLP0485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</si>
  <si>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</si>
  <si>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</si>
  <si>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</si>
  <si>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</si>
  <si>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</si>
  <si>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[54664790]  Client: [VCSATRIARA_EXT], Backup Set: [FIDUPREVISORA], Subclient: [FLP0485]</t>
  </si>
  <si>
    <t>09/01/2025 18:10:20</t>
  </si>
  <si>
    <t>vm-398900</t>
  </si>
  <si>
    <t>4207c5bd-2603-0740-406e-d8ff22ce4a60</t>
  </si>
  <si>
    <t>5007245d-d7b9-a891-c84b-7bed7a84ff43</t>
  </si>
  <si>
    <t>FLP0486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</si>
  <si>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</si>
  <si>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</si>
  <si>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</si>
  <si>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</si>
  <si>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</si>
  <si>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</si>
  <si>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</si>
  <si>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[54677111]  Client: [VCSATRIARA_EXT], Backup Set: [FIDUPREVISORA], Subclient: [FLP0486]</t>
  </si>
  <si>
    <t>09/02/2025 01:09:38</t>
  </si>
  <si>
    <t>vm-631123</t>
  </si>
  <si>
    <t>42079da3-91b3-842e-1e41-be69c1a4315b</t>
  </si>
  <si>
    <t>5007e6d3-26ba-2610-c2e9-8edd8cc72cf7</t>
  </si>
  <si>
    <t>FLP0487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</si>
  <si>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</si>
  <si>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</si>
  <si>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</si>
  <si>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</si>
  <si>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</si>
  <si>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[54680843]  Client: [VCSATRIARA_EXT], Backup Set: [FIDUPREVISORA], Subclient: [FLP0487]</t>
  </si>
  <si>
    <t>09/02/2025 03:05:49</t>
  </si>
  <si>
    <t>vm-792321</t>
  </si>
  <si>
    <t>42073b71-4b6f-f5c9-130a-6961e0c0e0b5</t>
  </si>
  <si>
    <t>500701ff-94a6-f42e-8df7-4f96d9e6d93b</t>
  </si>
  <si>
    <t>FLP0488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</si>
  <si>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</si>
  <si>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</si>
  <si>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</si>
  <si>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</si>
  <si>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</si>
  <si>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[54682332]  Client: [VCSATRIARA_EXT], Backup Set: [FIDUPREVISORA], Subclient: [FLP0488]</t>
  </si>
  <si>
    <t>09/02/2025 04:05:03</t>
  </si>
  <si>
    <t>vm-803982</t>
  </si>
  <si>
    <t>42077a2a-8124-d696-5091-b533c3c32111</t>
  </si>
  <si>
    <t>5007a284-5552-7466-2223-d502a24b91a0</t>
  </si>
  <si>
    <t>FLP0489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</si>
  <si>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</si>
  <si>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</si>
  <si>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</si>
  <si>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</si>
  <si>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</si>
  <si>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[54662410]  Client: [VCSATRIARA_EXT], Backup Set: [FIDUPREVISORA], Subclient: [FLP0489]</t>
  </si>
  <si>
    <t>09/01/2025 16:08:14</t>
  </si>
  <si>
    <t>vm-803983</t>
  </si>
  <si>
    <t>42076cba-c424-764d-fce8-81a66a13ad94</t>
  </si>
  <si>
    <t>5007e7ad-efec-be4e-2ac3-fb0472b398f3</t>
  </si>
  <si>
    <t>FLP0490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</si>
  <si>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</si>
  <si>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</si>
  <si>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</si>
  <si>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</si>
  <si>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</si>
  <si>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[54679059]  Client: [VCSATRIARA_EXT], Backup Set: [FIDUPREVISORA], Subclient: [FLP0490]</t>
  </si>
  <si>
    <t>09/02/2025 02:17:22</t>
  </si>
  <si>
    <t>vm-886778</t>
  </si>
  <si>
    <t>42074bbb-3170-a166-9361-0bfee780ff63</t>
  </si>
  <si>
    <t>5007231e-9476-2ef6-3c9d-7cf0e598701f</t>
  </si>
  <si>
    <t>FLP0491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</si>
  <si>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</si>
  <si>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</si>
  <si>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</si>
  <si>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</si>
  <si>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[54681601]  Client: [VCSATRIARA_EXT], Backup Set: [FIDUPREVISORA], Subclient: [FLP0491]</t>
  </si>
  <si>
    <t>09/02/2025 03:31:56</t>
  </si>
  <si>
    <t>vm-886780</t>
  </si>
  <si>
    <t>42072359-27fd-b27a-a16e-9560480956e1</t>
  </si>
  <si>
    <t>5007e862-cbd3-3138-d2f2-f63699ecdff5</t>
  </si>
  <si>
    <t>FLP0492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</si>
  <si>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</si>
  <si>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</si>
  <si>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</si>
  <si>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</si>
  <si>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[54677118]  Client: [VCSATRIARA_EXT], Backup Set: [FIDUPREVISORA], Subclient: [FLP0492]</t>
  </si>
  <si>
    <t>09/02/2025 01:06:34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</si>
  <si>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</si>
  <si>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</si>
  <si>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</si>
  <si>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</si>
  <si>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</si>
  <si>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[D_TFM2877_R5_N1_ID025_DECACORE003_4TB] FLP0492_FIDUPREVISORA_Restore/FLP0492_FIDUPREVISORA_Restore.vmx</t>
  </si>
  <si>
    <t>[D_TFM2877_R5_N1_ID025_DECACORE003_4TB] FLP0492_FIDUPREVISORA_Restore/</t>
  </si>
  <si>
    <t>vm-2711205</t>
  </si>
  <si>
    <t>4207bbeb-ef7b-89e8-8dc1-83650651c491</t>
  </si>
  <si>
    <t>500706de-b524-d2bb-65b6-e21d071789ad</t>
  </si>
  <si>
    <t>FLP0493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</si>
  <si>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</si>
  <si>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</si>
  <si>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</si>
  <si>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</si>
  <si>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</si>
  <si>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[54666345]  Client: [VCSATRIARA_EXT], Backup Set: [FIDUPREVISORA], Subclient: [FLP0493]</t>
  </si>
  <si>
    <t>09/01/2025 19:14:47</t>
  </si>
  <si>
    <t>vm-991958</t>
  </si>
  <si>
    <t>4207f241-ab3e-0b3e-ff0c-e76da342a290</t>
  </si>
  <si>
    <t>5007b34b-ecd1-b514-402d-cffa3842d0ee</t>
  </si>
  <si>
    <t>FLP0494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</si>
  <si>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</si>
  <si>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</si>
  <si>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</si>
  <si>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</si>
  <si>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</si>
  <si>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</si>
  <si>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[54677119]  Client: [VCSATRIARA_EXT], Backup Set: [FIDUPREVISORA], Subclient: [FLP0494]</t>
  </si>
  <si>
    <t>09/02/2025 01:05:42</t>
  </si>
  <si>
    <t>vm-1025978</t>
  </si>
  <si>
    <t>4207c011-0324-67ff-e7be-76c78140a6cf</t>
  </si>
  <si>
    <t>50077efd-b0c6-8592-fe4b-f4e34fc1aa7a</t>
  </si>
  <si>
    <t>FLP0496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</si>
  <si>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</si>
  <si>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</si>
  <si>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</si>
  <si>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</si>
  <si>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</si>
  <si>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[54679061]  Client: [VCSATRIARA_EXT], Backup Set: [FIDUPREVISORA], Subclient: [FLP0496]</t>
  </si>
  <si>
    <t>09/02/2025 02:20:19</t>
  </si>
  <si>
    <t>vm-1080564</t>
  </si>
  <si>
    <t>4207c5d4-389c-0016-38f3-de744a1384ef</t>
  </si>
  <si>
    <t>50074f74-45ef-aee9-641d-6c1448d1cc39</t>
  </si>
  <si>
    <t>FLP0497</t>
  </si>
  <si>
    <t>FLP0497_FIDUPREVISORA</t>
  </si>
  <si>
    <t>master2</t>
  </si>
  <si>
    <t>1%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</si>
  <si>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</si>
  <si>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</si>
  <si>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</si>
  <si>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[54675438]  Client: [VCSATRIARA_EXT], Backup Set: [FIDUPREVISORA], Subclient: [FLP0497]</t>
  </si>
  <si>
    <t>09/02/2025 00:06:18</t>
  </si>
  <si>
    <t>vm-1080565</t>
  </si>
  <si>
    <t>420780e2-a674-afe4-9945-efc2c0bdca0d</t>
  </si>
  <si>
    <t>50076cde-2d0c-5ec3-7603-83d2cd2af665</t>
  </si>
  <si>
    <t>FLP0498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</si>
  <si>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</si>
  <si>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</si>
  <si>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</si>
  <si>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</si>
  <si>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</si>
  <si>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[54675563]  Client: [VCSATRIARA_EXT], Backup Set: [FIDUPREVISORA], Subclient: [FLP0498]</t>
  </si>
  <si>
    <t>09/02/2025 00:08:06</t>
  </si>
  <si>
    <t>vm-1080566</t>
  </si>
  <si>
    <t>42076229-be8b-1148-407f-4969eed57214</t>
  </si>
  <si>
    <t>500770c2-7d02-c9a0-dc78-d4f2cf8a3811</t>
  </si>
  <si>
    <t>FLP0499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</si>
  <si>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</si>
  <si>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</si>
  <si>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</si>
  <si>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</si>
  <si>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[54673914]  Client: [VCSATRIARA_EXT], Backup Set: [FIDUPREVISORA], Subclient: [FLP0499]</t>
  </si>
  <si>
    <t>09/01/2025 23:12:13</t>
  </si>
  <si>
    <t>vm-1080567</t>
  </si>
  <si>
    <t>420792ce-773e-15dd-1203-4e9e2c8238da</t>
  </si>
  <si>
    <t>500727f6-e95f-16b3-423b-a26cdd951e0b</t>
  </si>
  <si>
    <t>FLP0501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</si>
  <si>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</si>
  <si>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</si>
  <si>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</si>
  <si>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</si>
  <si>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[54675564]  Client: [VCSATRIARA_EXT], Backup Set: [FIDUPREVISORA], Subclient: [FLP0501]</t>
  </si>
  <si>
    <t>09/02/2025 00:10:39</t>
  </si>
  <si>
    <t>c-tfm4568-gae03-11-sr645.datacenterdhs.local</t>
  </si>
  <si>
    <t>vm-1080569</t>
  </si>
  <si>
    <t>4207f9da-ceff-ed62-953a-51470a04139b</t>
  </si>
  <si>
    <t>50075c06-8dfa-c559-db31-4f9f0c91bb48</t>
  </si>
  <si>
    <t>FLP0520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</si>
  <si>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</si>
  <si>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</si>
  <si>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</si>
  <si>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</si>
  <si>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</si>
  <si>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</si>
  <si>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</si>
  <si>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</si>
  <si>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</si>
  <si>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[54670693]  Client: [VCSATRIARA_EXT], Backup Set: [FIDUPREVISORA], Subclient: [FLP0520]</t>
  </si>
  <si>
    <t>09/01/2025 21:32:46</t>
  </si>
  <si>
    <t>vm-597725</t>
  </si>
  <si>
    <t>4207372a-18b0-90ff-1df9-e44e753323ba</t>
  </si>
  <si>
    <t>500712eb-6e26-42ee-6a95-7be924f0bf48</t>
  </si>
  <si>
    <t>False</t>
  </si>
  <si>
    <t>0</t>
  </si>
  <si>
    <t>TRUE</t>
  </si>
  <si>
    <t>/VDC001_MGC_CENTRALIZADO/FCL003_COMPARTIDOS/CLT303_MGC_COM_QUADOCTACORE/Resources/RSP_FIDUPREVISORA_CLT314</t>
  </si>
  <si>
    <t>group-v22</t>
  </si>
  <si>
    <t>/VDC001_MGC_CENTRALIZADO</t>
  </si>
  <si>
    <t>True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</si>
  <si>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</si>
  <si>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</si>
  <si>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</si>
  <si>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</si>
  <si>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</si>
  <si>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</si>
  <si>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</si>
  <si>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</si>
  <si>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</si>
  <si>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7.0.3.0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</si>
  <si>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</si>
  <si>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</si>
  <si>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</si>
  <si>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</si>
  <si>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</si>
  <si>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</si>
  <si>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</si>
  <si>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</si>
  <si>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</si>
  <si>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</si>
  <si>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</si>
  <si>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</si>
  <si>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</si>
  <si>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</si>
  <si>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</si>
  <si>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</si>
  <si>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</si>
  <si>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</si>
  <si>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</si>
  <si>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</si>
  <si>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</si>
  <si>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</si>
  <si>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</si>
  <si>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</si>
  <si>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</si>
  <si>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</si>
  <si>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</si>
  <si>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</si>
  <si>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</si>
  <si>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</si>
  <si>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</si>
  <si>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</si>
  <si>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</si>
  <si>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</si>
  <si>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</si>
  <si>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</si>
  <si>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</si>
  <si>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</si>
  <si>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</si>
  <si>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</si>
  <si>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</si>
  <si>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</si>
  <si>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</si>
  <si>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</si>
  <si>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</si>
  <si>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</si>
  <si>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</si>
  <si>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</si>
  <si>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</si>
  <si>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</si>
  <si>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</si>
  <si>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</si>
  <si>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</si>
  <si>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</si>
  <si>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</si>
  <si>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</si>
  <si>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</si>
  <si>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</si>
  <si>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</si>
  <si>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</si>
  <si>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</si>
  <si>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</si>
  <si>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</si>
  <si>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</si>
  <si>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</si>
  <si>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</si>
  <si>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</si>
  <si>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</si>
  <si>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</si>
  <si>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</si>
  <si>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</si>
  <si>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</si>
  <si>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</si>
  <si>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</si>
  <si>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</si>
  <si>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</si>
  <si>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</si>
  <si>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</si>
  <si>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</si>
  <si>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</si>
  <si>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</si>
  <si>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</si>
  <si>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</si>
  <si>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</si>
  <si>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</si>
  <si>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</si>
  <si>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</si>
  <si>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</si>
  <si>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</si>
  <si>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</si>
  <si>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</si>
  <si>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</si>
  <si>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</si>
  <si>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</si>
  <si>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</si>
  <si>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</si>
  <si>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</si>
  <si>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</si>
  <si>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/VDC001_TRI_CENTRALIZADO_CLI/FCL003_COMPARTIDOS/CLT314_TRI_COM_OCTADECACORE09_ACI_ADD/Resources/RSP_FIDUPREVISORA</t>
  </si>
  <si>
    <t>Backup Job ID [53718239]  Client: [VCSATRIARA_EXT], Backup Set: [FIDUPREVISORA], Subclient: [FLP0000557]</t>
  </si>
  <si>
    <t>07/31/2025 22:24:04</t>
  </si>
  <si>
    <t>Backup Job ID [53725232]  Client: [VCSATRIARA_EXT], Backup Set: [FIDUPREVISORA], Subclient: [FLP0008_FIDUPREVISORA_Rep]</t>
  </si>
  <si>
    <t>08/01/2025 02:20:07</t>
  </si>
  <si>
    <t>Backup Job ID [53722701]  Client: [VCSATRIARA_EXT], Backup Set: [FIDUPREVISORA], Subclient: [FLP0034_FIDUPREVISORA_REV_Rep]</t>
  </si>
  <si>
    <t>08/01/2025 00:36:18</t>
  </si>
  <si>
    <t>Backup Job ID [53710558]  Client: [VCSATRIARA_EXT], Backup Set: [FIDUPREVISORA], Subclient: [FLP0060_FIDUPREVISORA_Rep]</t>
  </si>
  <si>
    <t>07/31/2025 17:04:14</t>
  </si>
  <si>
    <t>Backup Job ID [53722703]  Client: [VCSATRIARA_EXT], Backup Set: [FIDUPREVISORA], Subclient: [FLP0062_FIDUPREVISORA_Rep]</t>
  </si>
  <si>
    <t>08/01/2025 00:38:57</t>
  </si>
  <si>
    <t>Backup Job ID [53722704]  Client: [VCSATRIARA_EXT], Backup Set: [FIDUPREVISORA], Subclient: [FLP0069_FIDUPREVISORA_Rep]</t>
  </si>
  <si>
    <t>08/01/2025 00:36:51</t>
  </si>
  <si>
    <t>Backup Job ID [53711810]  Client: [VCSATRIARA_EXT], Backup Set: [FIDUPREVISORA], Subclient: [FLP0105_FIDUPREVISORA]</t>
  </si>
  <si>
    <t>07/31/2025 18:06:42</t>
  </si>
  <si>
    <t>Backup Job ID [53711851]  Client: [VCSATRIARA_EXT], Backup Set: [FIDUPREVISORA], Subclient: [FLP0108_FIDUPREVISORA_Rep]</t>
  </si>
  <si>
    <t>07/31/2025 18:07:40</t>
  </si>
  <si>
    <t>Backup Job ID [53714940]  Client: [VCSATRIARA_EXT], Backup Set: [FIDUPREVISORA], Subclient: [FLP0158_FIDUPREVISORA_Rep]</t>
  </si>
  <si>
    <t>07/31/2025 20:24:16</t>
  </si>
  <si>
    <t>Backup Job ID [53722708]  Client: [VCSATRIARA_EXT], Backup Set: [FIDUPREVISORA], Subclient: [FLP0208_FIDUPREVISORA_Rep]</t>
  </si>
  <si>
    <t>08/01/2025 00:35:22</t>
  </si>
  <si>
    <t>Backup Job ID [53723329]  Client: [VCSATRIARA_EXT], Backup Set: [FIDUPREVISORA], Subclient: [FLP0245]</t>
  </si>
  <si>
    <t>08/01/2025 01:11:08</t>
  </si>
  <si>
    <t>Backup Job ID [53710682]  Client: [VCSATRIARA_EXT], Backup Set: [FIDUPREVISORA], Subclient: [FLP0373_FIDUPREVISORA_Rep]</t>
  </si>
  <si>
    <t>07/31/2025 17:04:28</t>
  </si>
  <si>
    <t>Backup Job ID [53727298]  Client: [VCSATRIARA_EXT], Backup Set: [FIDUPREVISORA], Subclient: [FLP0419_FIDUPREVISORA]</t>
  </si>
  <si>
    <t>08/01/2025 03:16:16</t>
  </si>
  <si>
    <t>Backup Job ID [53710706]  Client: [VCSATRIARA_EXT], Backup Set: [FIDUPREVISORA], Subclient: [FLP0480]</t>
  </si>
  <si>
    <t>07/31/2025 17:08:18</t>
  </si>
  <si>
    <t>Backup Job ID [53711873]  Client: [VCSATRIARA_EXT], Backup Set: [FIDUPREVISORA], Subclient: [FLP0481]</t>
  </si>
  <si>
    <t>07/31/2025 18:12:52</t>
  </si>
  <si>
    <t>Backup Job ID [53710707]  Client: [VCSATRIARA_EXT], Backup Set: [FIDUPREVISORA], Subclient: [FLP0482]</t>
  </si>
  <si>
    <t>07/31/2025 17:08:02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</si>
</sst>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hh:mm:ss"/>
    <numFmt numFmtId="165" formatCode="0.0"/>
    <numFmt numFmtId="166" formatCode="yyyy\-mm\-dd\ hh:mm:ss"/>
  </numFmts>
  <fonts count="24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sz val="12"/>
      <name val="Calibri (Cuerpo)"/>
    </font>
    <font>
      <b/>
      <u/>
      <sz val="12"/>
      <name val="Aptos Narrow"/>
      <family val="2"/>
      <scheme val="minor"/>
    </font>
    <font>
      <b/>
      <sz val="12"/>
      <color rgb="FF000000"/>
      <name val="Calibri (Cuerpo)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5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5" fillId="7" borderId="3" xfId="0" applyFont="1" applyFill="1" applyBorder="1"/>
    <xf numFmtId="0" fontId="8" fillId="7" borderId="3" xfId="0" applyFont="1" applyFill="1" applyBorder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5" fillId="7" borderId="4" xfId="0" applyFont="1" applyFill="1" applyBorder="1" applyAlignment="1">
      <alignment horizontal="center"/>
    </xf>
    <xf numFmtId="0" fontId="7" fillId="8" borderId="3" xfId="0" applyFont="1" applyFill="1" applyBorder="1"/>
    <xf numFmtId="0" fontId="8" fillId="8" borderId="4" xfId="0" applyFont="1" applyFill="1" applyBorder="1" applyAlignment="1">
      <alignment horizontal="center"/>
    </xf>
    <xf numFmtId="3" fontId="8" fillId="7" borderId="4" xfId="0" applyNumberFormat="1" applyFont="1" applyFill="1" applyBorder="1" applyAlignment="1">
      <alignment horizontal="center"/>
    </xf>
    <xf numFmtId="0" fontId="8" fillId="8" borderId="3" xfId="0" applyFont="1" applyFill="1" applyBorder="1"/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/>
    <xf numFmtId="165" fontId="11" fillId="8" borderId="5" xfId="0" applyNumberFormat="1" applyFont="1" applyFill="1" applyBorder="1" applyAlignment="1">
      <alignment horizontal="center" vertical="center"/>
    </xf>
    <xf numFmtId="10" fontId="4" fillId="8" borderId="5" xfId="1" applyNumberFormat="1" applyFont="1" applyFill="1" applyBorder="1" applyAlignment="1">
      <alignment horizontal="center" vertic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9" fillId="5" borderId="3" xfId="0" applyFont="1" applyFill="1" applyBorder="1"/>
    <xf numFmtId="1" fontId="8" fillId="7" borderId="4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15" fillId="5" borderId="3" xfId="0" applyFont="1" applyFill="1" applyBorder="1"/>
    <xf numFmtId="49" fontId="2" fillId="8" borderId="0" xfId="0" applyNumberFormat="1" applyFont="1" applyFill="1" applyAlignment="1">
      <alignment horizontal="left"/>
    </xf>
    <xf numFmtId="3" fontId="15" fillId="6" borderId="4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165" fontId="4" fillId="8" borderId="5" xfId="0" applyNumberFormat="1" applyFont="1" applyFill="1" applyBorder="1" applyAlignment="1">
      <alignment horizontal="center" vertical="center"/>
    </xf>
    <xf numFmtId="165" fontId="7" fillId="8" borderId="3" xfId="0" applyNumberFormat="1" applyFont="1" applyFill="1" applyBorder="1" applyAlignment="1">
      <alignment horizontal="center"/>
    </xf>
    <xf numFmtId="165" fontId="10" fillId="8" borderId="5" xfId="0" applyNumberFormat="1" applyFont="1" applyFill="1" applyBorder="1" applyAlignment="1">
      <alignment horizontal="center" vertical="center"/>
    </xf>
    <xf numFmtId="165" fontId="14" fillId="8" borderId="5" xfId="0" applyNumberFormat="1" applyFont="1" applyFill="1" applyBorder="1" applyAlignment="1">
      <alignment horizontal="center" vertical="center"/>
    </xf>
    <xf numFmtId="0" fontId="13" fillId="8" borderId="3" xfId="0" applyFont="1" applyFill="1" applyBorder="1"/>
    <xf numFmtId="0" fontId="16" fillId="8" borderId="3" xfId="0" applyFont="1" applyFill="1" applyBorder="1"/>
    <xf numFmtId="165" fontId="17" fillId="8" borderId="4" xfId="0" applyNumberFormat="1" applyFont="1" applyFill="1" applyBorder="1" applyAlignment="1">
      <alignment horizontal="center" vertical="center"/>
    </xf>
    <xf numFmtId="0" fontId="13" fillId="9" borderId="3" xfId="0" applyFont="1" applyFill="1" applyBorder="1"/>
    <xf numFmtId="165" fontId="17" fillId="9" borderId="4" xfId="0" applyNumberFormat="1" applyFont="1" applyFill="1" applyBorder="1" applyAlignment="1">
      <alignment horizontal="center" vertical="center"/>
    </xf>
    <xf numFmtId="165" fontId="7" fillId="8" borderId="4" xfId="0" applyNumberFormat="1" applyFont="1" applyFill="1" applyBorder="1" applyAlignment="1">
      <alignment horizontal="center"/>
    </xf>
    <xf numFmtId="165" fontId="18" fillId="9" borderId="4" xfId="0" applyNumberFormat="1" applyFont="1" applyFill="1" applyBorder="1" applyAlignment="1">
      <alignment horizontal="center"/>
    </xf>
    <xf numFmtId="0" fontId="19" fillId="8" borderId="0" xfId="0" applyFont="1" applyFill="1"/>
    <xf numFmtId="166" fontId="19" fillId="8" borderId="0" xfId="0" applyNumberFormat="1" applyFont="1" applyFill="1"/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/>
    </xf>
    <xf numFmtId="0" fontId="20" fillId="8" borderId="5" xfId="0" applyFont="1" applyFill="1" applyBorder="1" applyAlignment="1">
      <alignment horizontal="center" vertical="top"/>
    </xf>
    <xf numFmtId="0" fontId="20" fillId="8" borderId="5" xfId="0" applyFont="1" applyFill="1" applyBorder="1" applyAlignment="1">
      <alignment horizontal="center" vertical="center"/>
    </xf>
    <xf numFmtId="0" fontId="0" fillId="8" borderId="0" xfId="0" applyFill="1"/>
    <xf numFmtId="166" fontId="0" fillId="8" borderId="0" xfId="0" applyNumberFormat="1" applyFill="1"/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21" fillId="8" borderId="0" xfId="0" applyFont="1" applyFill="1"/>
    <xf numFmtId="166" fontId="21" fillId="8" borderId="0" xfId="0" applyNumberFormat="1" applyFont="1" applyFill="1"/>
    <xf numFmtId="0" fontId="22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0EB6-C63C-4E45-8378-7A9492A52A20}">
  <dimension ref="B1:F26"/>
  <sheetViews>
    <sheetView tabSelected="1" zoomScale="85" zoomScaleNormal="85" workbookViewId="0">
      <selection activeCell="H18" sqref="H18"/>
    </sheetView>
  </sheetViews>
  <sheetFormatPr defaultColWidth="11.42578125" defaultRowHeight="15.75"/>
  <cols>
    <col min="1" max="1" width="4" style="19" customWidth="1"/>
    <col min="2" max="2" width="90.140625" style="19" customWidth="1"/>
    <col min="3" max="3" width="16.140625" style="19" customWidth="1"/>
    <col min="4" max="4" width="14.28515625" style="19" customWidth="1"/>
    <col min="5" max="5" width="16.5703125" style="19" customWidth="1"/>
    <col min="6" max="6" width="22.42578125" style="19" bestFit="1" customWidth="1"/>
    <col min="7" max="7" width="3.42578125" style="19" customWidth="1"/>
    <col min="8" max="8" width="11.42578125" style="19"/>
    <col min="9" max="9" width="11.42578125" style="19" customWidth="1"/>
    <col min="10" max="16384" width="11.42578125" style="19"/>
  </cols>
  <sheetData>
    <row r="1" spans="2:6">
      <c r="B1" s="17"/>
      <c r="C1" s="17"/>
      <c r="D1" s="18"/>
      <c r="E1" s="18"/>
      <c r="F1" s="18"/>
    </row>
    <row r="2" spans="2:6">
      <c r="B2" s="63" t="s">
        <v>0</v>
      </c>
      <c r="C2" s="64"/>
      <c r="D2" s="64"/>
      <c r="E2" s="64"/>
      <c r="F2" s="64"/>
    </row>
    <row r="3" spans="2:6">
      <c r="B3" s="15" t="s">
        <v>1</v>
      </c>
      <c r="C3" s="20" t="s">
        <v>2</v>
      </c>
      <c r="D3" s="20" t="s">
        <v>3</v>
      </c>
      <c r="E3" s="20" t="s">
        <v>4</v>
      </c>
      <c r="F3" s="20" t="s">
        <v>5</v>
      </c>
    </row>
    <row r="4" spans="2:6">
      <c r="B4" s="21" t="s">
        <v>6</v>
      </c>
      <c r="C4" s="22">
        <v>160</v>
      </c>
      <c r="D4" s="22">
        <v>800</v>
      </c>
      <c r="E4" s="22">
        <v>1880</v>
      </c>
      <c r="F4" s="22">
        <v>390</v>
      </c>
    </row>
    <row r="5" spans="2:6">
      <c r="B5" s="21" t="s">
        <v>7</v>
      </c>
      <c r="C5" s="38">
        <f>+C4*5%</f>
        <v>8</v>
      </c>
      <c r="D5" s="38">
        <f>+D4*5%</f>
        <v>40</v>
      </c>
      <c r="E5" s="38">
        <f t="shared" ref="E5:F5" si="0">+E4*5%</f>
        <v>94</v>
      </c>
      <c r="F5" s="38">
        <f t="shared" si="0"/>
        <v>19.5</v>
      </c>
    </row>
    <row r="6" spans="2:6">
      <c r="B6" s="42" t="s">
        <v>8</v>
      </c>
      <c r="C6" s="41">
        <f>+C4+C5</f>
        <v>168</v>
      </c>
      <c r="D6" s="41">
        <f>+D4+D5</f>
        <v>840</v>
      </c>
      <c r="E6" s="41">
        <f>+E4+E5</f>
        <v>1974</v>
      </c>
      <c r="F6" s="41">
        <f>+F4+F5</f>
        <v>409.5</v>
      </c>
    </row>
    <row r="7" spans="2:6">
      <c r="B7" s="43" t="s">
        <v>9</v>
      </c>
      <c r="C7" s="44">
        <f>+C6*5%</f>
        <v>8.4</v>
      </c>
      <c r="D7" s="44">
        <f t="shared" ref="D7:F7" si="1">+D6*5%</f>
        <v>42</v>
      </c>
      <c r="E7" s="44">
        <f t="shared" si="1"/>
        <v>98.7</v>
      </c>
      <c r="F7" s="44">
        <f t="shared" si="1"/>
        <v>20.475000000000001</v>
      </c>
    </row>
    <row r="8" spans="2:6">
      <c r="B8" s="45" t="s">
        <v>10</v>
      </c>
      <c r="C8" s="46">
        <f>C6+C7</f>
        <v>176.4</v>
      </c>
      <c r="D8" s="46">
        <f t="shared" ref="D8:F8" si="2">D6+D7</f>
        <v>882</v>
      </c>
      <c r="E8" s="46">
        <f t="shared" si="2"/>
        <v>2072.6999999999998</v>
      </c>
      <c r="F8" s="46">
        <f t="shared" si="2"/>
        <v>429.97500000000002</v>
      </c>
    </row>
    <row r="9" spans="2:6" hidden="1">
      <c r="B9" s="16" t="s">
        <v>11</v>
      </c>
      <c r="C9" s="23">
        <v>140</v>
      </c>
      <c r="D9" s="23">
        <v>736</v>
      </c>
      <c r="E9" s="23">
        <v>2106</v>
      </c>
      <c r="F9" s="23">
        <v>292</v>
      </c>
    </row>
    <row r="10" spans="2:6" hidden="1">
      <c r="B10" s="24" t="s">
        <v>12</v>
      </c>
      <c r="C10" s="25"/>
      <c r="D10" s="25"/>
      <c r="E10" s="25"/>
      <c r="F10" s="25">
        <v>0</v>
      </c>
    </row>
    <row r="11" spans="2:6">
      <c r="B11" s="34" t="s">
        <v>13</v>
      </c>
      <c r="C11" s="36">
        <v>146</v>
      </c>
      <c r="D11" s="36">
        <v>750</v>
      </c>
      <c r="E11" s="36">
        <v>1986</v>
      </c>
      <c r="F11" s="36">
        <v>293</v>
      </c>
    </row>
    <row r="12" spans="2:6">
      <c r="B12" s="16" t="s">
        <v>14</v>
      </c>
      <c r="C12" s="27">
        <f>C8-C11</f>
        <v>30.400000000000006</v>
      </c>
      <c r="D12" s="27">
        <f>D8-D11</f>
        <v>132</v>
      </c>
      <c r="E12" s="27">
        <f>E8-E11</f>
        <v>86.699999999999818</v>
      </c>
      <c r="F12" s="27">
        <f>F8-F11</f>
        <v>136.97500000000002</v>
      </c>
    </row>
    <row r="13" spans="2:6">
      <c r="B13" s="26" t="s">
        <v>15</v>
      </c>
      <c r="C13" s="28">
        <f>C11/C6</f>
        <v>0.86904761904761907</v>
      </c>
      <c r="D13" s="28">
        <f>D11/D6</f>
        <v>0.8928571428571429</v>
      </c>
      <c r="E13" s="28">
        <f>E11/E6</f>
        <v>1.006079027355623</v>
      </c>
      <c r="F13" s="28">
        <f>F11/F6</f>
        <v>0.71550671550671552</v>
      </c>
    </row>
    <row r="14" spans="2:6">
      <c r="B14" s="29"/>
      <c r="C14" s="29"/>
      <c r="D14" s="30"/>
      <c r="E14" s="18"/>
      <c r="F14" s="18"/>
    </row>
    <row r="15" spans="2:6">
      <c r="B15" s="63" t="s">
        <v>16</v>
      </c>
      <c r="C15" s="64"/>
      <c r="D15" s="64"/>
      <c r="E15" s="64"/>
      <c r="F15" s="64"/>
    </row>
    <row r="16" spans="2:6">
      <c r="B16" s="15" t="s">
        <v>1</v>
      </c>
      <c r="C16" s="20" t="s">
        <v>2</v>
      </c>
      <c r="D16" s="20" t="s">
        <v>3</v>
      </c>
      <c r="E16" s="20" t="s">
        <v>4</v>
      </c>
      <c r="F16" s="20" t="s">
        <v>5</v>
      </c>
    </row>
    <row r="17" spans="2:6">
      <c r="B17" s="21" t="s">
        <v>6</v>
      </c>
      <c r="C17" s="33">
        <v>30</v>
      </c>
      <c r="D17" s="22">
        <v>120</v>
      </c>
      <c r="E17" s="22">
        <v>270</v>
      </c>
      <c r="F17" s="22">
        <v>30</v>
      </c>
    </row>
    <row r="18" spans="2:6">
      <c r="B18" s="21" t="s">
        <v>7</v>
      </c>
      <c r="C18" s="38">
        <f>+C17*5%</f>
        <v>1.5</v>
      </c>
      <c r="D18" s="38">
        <f>+D17*5%</f>
        <v>6</v>
      </c>
      <c r="E18" s="38">
        <f t="shared" ref="E18:F18" si="3">+E17*5%</f>
        <v>13.5</v>
      </c>
      <c r="F18" s="38">
        <f t="shared" si="3"/>
        <v>1.5</v>
      </c>
    </row>
    <row r="19" spans="2:6">
      <c r="B19" s="42" t="s">
        <v>17</v>
      </c>
      <c r="C19" s="39">
        <f>C17+C18</f>
        <v>31.5</v>
      </c>
      <c r="D19" s="40">
        <f>+D17+D18</f>
        <v>126</v>
      </c>
      <c r="E19" s="40">
        <f t="shared" ref="E19:F19" si="4">+E17+E18</f>
        <v>283.5</v>
      </c>
      <c r="F19" s="40">
        <f t="shared" si="4"/>
        <v>31.5</v>
      </c>
    </row>
    <row r="20" spans="2:6">
      <c r="B20" s="43" t="s">
        <v>9</v>
      </c>
      <c r="C20" s="47">
        <f>+C19*5%</f>
        <v>1.5750000000000002</v>
      </c>
      <c r="D20" s="47">
        <f t="shared" ref="D20:F20" si="5">+D19*5%</f>
        <v>6.3000000000000007</v>
      </c>
      <c r="E20" s="47">
        <f t="shared" si="5"/>
        <v>14.175000000000001</v>
      </c>
      <c r="F20" s="47">
        <f t="shared" si="5"/>
        <v>1.5750000000000002</v>
      </c>
    </row>
    <row r="21" spans="2:6">
      <c r="B21" s="45" t="s">
        <v>18</v>
      </c>
      <c r="C21" s="48">
        <f>C19+C20</f>
        <v>33.075000000000003</v>
      </c>
      <c r="D21" s="48">
        <f t="shared" ref="D21:F21" si="6">D19+D20</f>
        <v>132.30000000000001</v>
      </c>
      <c r="E21" s="48">
        <f t="shared" si="6"/>
        <v>297.67500000000001</v>
      </c>
      <c r="F21" s="48">
        <f t="shared" si="6"/>
        <v>33.075000000000003</v>
      </c>
    </row>
    <row r="22" spans="2:6" hidden="1">
      <c r="B22" s="16" t="s">
        <v>19</v>
      </c>
      <c r="C22" s="25">
        <v>16</v>
      </c>
      <c r="D22" s="23">
        <v>68</v>
      </c>
      <c r="E22" s="23">
        <v>192</v>
      </c>
      <c r="F22" s="32">
        <v>22</v>
      </c>
    </row>
    <row r="23" spans="2:6" hidden="1">
      <c r="B23" s="24" t="s">
        <v>12</v>
      </c>
      <c r="C23" s="22"/>
      <c r="D23" s="25"/>
      <c r="E23" s="25"/>
      <c r="F23" s="25"/>
    </row>
    <row r="24" spans="2:6">
      <c r="B24" s="31" t="s">
        <v>20</v>
      </c>
      <c r="C24" s="37">
        <f>C22+C23</f>
        <v>16</v>
      </c>
      <c r="D24" s="36">
        <f>D22+D23</f>
        <v>68</v>
      </c>
      <c r="E24" s="36">
        <f>E22+E23</f>
        <v>192</v>
      </c>
      <c r="F24" s="36">
        <v>22.27</v>
      </c>
    </row>
    <row r="25" spans="2:6">
      <c r="B25" s="16" t="s">
        <v>14</v>
      </c>
      <c r="C25" s="27">
        <f>C21-C24</f>
        <v>17.075000000000003</v>
      </c>
      <c r="D25" s="27">
        <f>D21-D24</f>
        <v>64.300000000000011</v>
      </c>
      <c r="E25" s="27">
        <f>E21-E24</f>
        <v>105.67500000000001</v>
      </c>
      <c r="F25" s="27">
        <f>F21-F24</f>
        <v>10.805000000000003</v>
      </c>
    </row>
    <row r="26" spans="2:6">
      <c r="B26" s="16" t="s">
        <v>15</v>
      </c>
      <c r="C26" s="28">
        <f>C24/C19</f>
        <v>0.50793650793650791</v>
      </c>
      <c r="D26" s="28">
        <f>D24/D19</f>
        <v>0.53968253968253965</v>
      </c>
      <c r="E26" s="28">
        <f>E24/E19</f>
        <v>0.67724867724867721</v>
      </c>
      <c r="F26" s="28">
        <f>F24/F19</f>
        <v>0.70698412698412694</v>
      </c>
    </row>
  </sheetData>
  <mergeCells count="2">
    <mergeCell ref="B2:F2"/>
    <mergeCell ref="B15:F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AD82101-B455-491A-96B0-07131A529799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C13:F13</xm:sqref>
        </x14:conditionalFormatting>
        <x14:conditionalFormatting xmlns:xm="http://schemas.microsoft.com/office/excel/2006/main">
          <x14:cfRule type="iconSet" priority="1" id="{9A267D4D-BBC2-44BD-9FF7-2631B768C75F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C26:F26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dimension ref="A1:DI150"/>
  <sheetViews>
    <sheetView topLeftCell="C1" workbookViewId="0">
      <pane ySplit="1" topLeftCell="A140" activePane="bottomLeft" state="frozen"/>
      <selection pane="bottomLeft" activeCell="C1" sqref="C1:C1048576"/>
      <selection activeCell="K1" sqref="K1"/>
    </sheetView>
  </sheetViews>
  <sheetFormatPr defaultColWidth="9.140625" defaultRowHeight="15"/>
  <cols>
    <col min="1" max="1" width="15.28515625" style="55" customWidth="1"/>
    <col min="2" max="2" width="39.85546875" style="55" customWidth="1"/>
    <col min="3" max="3" width="17.28515625" style="55" customWidth="1"/>
    <col min="4" max="5" width="9.42578125" style="55" hidden="1" customWidth="1"/>
    <col min="6" max="6" width="0" style="55" hidden="1" customWidth="1"/>
    <col min="7" max="7" width="37.5703125" style="55" bestFit="1" customWidth="1"/>
    <col min="8" max="8" width="16.28515625" style="55" hidden="1" customWidth="1"/>
    <col min="9" max="10" width="0" style="55" hidden="1" customWidth="1"/>
    <col min="11" max="11" width="9.42578125" style="55" hidden="1" customWidth="1"/>
    <col min="12" max="12" width="18.140625" style="55" hidden="1" customWidth="1"/>
    <col min="13" max="14" width="0" style="55" hidden="1" customWidth="1"/>
    <col min="15" max="15" width="9.42578125" style="55" hidden="1" customWidth="1"/>
    <col min="16" max="17" width="18.28515625" style="55" hidden="1" customWidth="1"/>
    <col min="18" max="18" width="16.28515625" style="57" customWidth="1"/>
    <col min="19" max="19" width="9.140625" style="55"/>
    <col min="20" max="20" width="14.5703125" style="57" customWidth="1"/>
    <col min="21" max="23" width="9.42578125" style="55" bestFit="1" customWidth="1"/>
    <col min="24" max="24" width="19" style="58" customWidth="1"/>
    <col min="25" max="28" width="9.140625" style="55"/>
    <col min="29" max="29" width="11.85546875" style="55" bestFit="1" customWidth="1"/>
    <col min="30" max="30" width="12" style="55" bestFit="1" customWidth="1"/>
    <col min="31" max="39" width="9.140625" style="55"/>
    <col min="40" max="41" width="9.42578125" style="55" bestFit="1" customWidth="1"/>
    <col min="42" max="45" width="9.140625" style="55"/>
    <col min="46" max="46" width="11.85546875" style="55" bestFit="1" customWidth="1"/>
    <col min="47" max="49" width="9.140625" style="55"/>
    <col min="50" max="51" width="9.42578125" style="55" bestFit="1" customWidth="1"/>
    <col min="52" max="52" width="9.140625" style="55"/>
    <col min="53" max="55" width="9.42578125" style="55" bestFit="1" customWidth="1"/>
    <col min="56" max="60" width="9.140625" style="55"/>
    <col min="61" max="65" width="9.42578125" style="55" bestFit="1" customWidth="1"/>
    <col min="66" max="66" width="9.140625" style="55"/>
    <col min="67" max="67" width="9.42578125" style="55" bestFit="1" customWidth="1"/>
    <col min="68" max="68" width="9.140625" style="55"/>
    <col min="69" max="69" width="9.42578125" style="55" bestFit="1" customWidth="1"/>
    <col min="70" max="86" width="9.140625" style="55"/>
    <col min="87" max="87" width="30" style="55" customWidth="1"/>
    <col min="88" max="16384" width="9.140625" style="55"/>
  </cols>
  <sheetData>
    <row r="1" spans="1:113">
      <c r="A1" s="53" t="s">
        <v>21</v>
      </c>
      <c r="B1" s="53" t="s">
        <v>21</v>
      </c>
      <c r="C1" s="53" t="s">
        <v>22</v>
      </c>
      <c r="D1" s="53" t="s">
        <v>23</v>
      </c>
      <c r="E1" s="53" t="s">
        <v>24</v>
      </c>
      <c r="F1" s="53" t="s">
        <v>25</v>
      </c>
      <c r="G1" s="53" t="s">
        <v>26</v>
      </c>
      <c r="H1" s="53" t="s">
        <v>27</v>
      </c>
      <c r="I1" s="53" t="s">
        <v>28</v>
      </c>
      <c r="J1" s="53" t="s">
        <v>29</v>
      </c>
      <c r="K1" s="53" t="s">
        <v>30</v>
      </c>
      <c r="L1" s="53" t="s">
        <v>31</v>
      </c>
      <c r="M1" s="53" t="s">
        <v>32</v>
      </c>
      <c r="N1" s="53" t="s">
        <v>33</v>
      </c>
      <c r="O1" s="53" t="s">
        <v>34</v>
      </c>
      <c r="P1" s="53" t="s">
        <v>35</v>
      </c>
      <c r="Q1" s="53" t="s">
        <v>36</v>
      </c>
      <c r="R1" s="54" t="s">
        <v>37</v>
      </c>
      <c r="S1" s="53" t="s">
        <v>38</v>
      </c>
      <c r="T1" s="54" t="s">
        <v>39</v>
      </c>
      <c r="U1" s="53" t="s">
        <v>40</v>
      </c>
      <c r="V1" s="53" t="s">
        <v>41</v>
      </c>
      <c r="W1" s="53" t="s">
        <v>42</v>
      </c>
      <c r="X1" s="53" t="s">
        <v>43</v>
      </c>
      <c r="Y1" s="53" t="s">
        <v>44</v>
      </c>
      <c r="Z1" s="53" t="s">
        <v>45</v>
      </c>
      <c r="AA1" s="53" t="s">
        <v>46</v>
      </c>
      <c r="AB1" s="53" t="s">
        <v>47</v>
      </c>
      <c r="AC1" s="53" t="s">
        <v>48</v>
      </c>
      <c r="AD1" s="53" t="s">
        <v>49</v>
      </c>
      <c r="AE1" s="53" t="s">
        <v>50</v>
      </c>
      <c r="AF1" s="53" t="s">
        <v>51</v>
      </c>
      <c r="AG1" s="53" t="s">
        <v>52</v>
      </c>
      <c r="AH1" s="53" t="s">
        <v>53</v>
      </c>
      <c r="AI1" s="53" t="s">
        <v>54</v>
      </c>
      <c r="AJ1" s="53" t="s">
        <v>55</v>
      </c>
      <c r="AK1" s="53" t="s">
        <v>56</v>
      </c>
      <c r="AL1" s="53" t="s">
        <v>57</v>
      </c>
      <c r="AM1" s="53" t="s">
        <v>58</v>
      </c>
      <c r="AN1" s="53" t="s">
        <v>59</v>
      </c>
      <c r="AO1" s="53" t="s">
        <v>60</v>
      </c>
      <c r="AP1" s="53" t="s">
        <v>61</v>
      </c>
      <c r="AQ1" s="53" t="s">
        <v>62</v>
      </c>
      <c r="AR1" s="53" t="s">
        <v>63</v>
      </c>
      <c r="AS1" s="53" t="s">
        <v>64</v>
      </c>
      <c r="AT1" s="53" t="s">
        <v>65</v>
      </c>
      <c r="AU1" s="53" t="s">
        <v>66</v>
      </c>
      <c r="AV1" s="53" t="s">
        <v>67</v>
      </c>
      <c r="AW1" s="53" t="s">
        <v>68</v>
      </c>
      <c r="AX1" s="53" t="s">
        <v>69</v>
      </c>
      <c r="AY1" s="53" t="s">
        <v>70</v>
      </c>
      <c r="AZ1" s="53" t="s">
        <v>71</v>
      </c>
      <c r="BA1" s="53" t="s">
        <v>72</v>
      </c>
      <c r="BB1" s="53" t="s">
        <v>73</v>
      </c>
      <c r="BC1" s="53" t="s">
        <v>74</v>
      </c>
      <c r="BD1" s="53" t="s">
        <v>75</v>
      </c>
      <c r="BE1" s="53" t="s">
        <v>76</v>
      </c>
      <c r="BF1" s="53" t="s">
        <v>77</v>
      </c>
      <c r="BG1" s="53" t="s">
        <v>78</v>
      </c>
      <c r="BH1" s="53" t="s">
        <v>79</v>
      </c>
      <c r="BI1" s="53" t="s">
        <v>80</v>
      </c>
      <c r="BJ1" s="53" t="s">
        <v>81</v>
      </c>
      <c r="BK1" s="53" t="s">
        <v>82</v>
      </c>
      <c r="BL1" s="53" t="s">
        <v>83</v>
      </c>
      <c r="BM1" s="53" t="s">
        <v>84</v>
      </c>
      <c r="BN1" s="53" t="s">
        <v>85</v>
      </c>
      <c r="BO1" s="53" t="s">
        <v>86</v>
      </c>
      <c r="BP1" s="53" t="s">
        <v>87</v>
      </c>
      <c r="BQ1" s="53" t="s">
        <v>88</v>
      </c>
      <c r="BR1" s="53" t="s">
        <v>89</v>
      </c>
      <c r="BS1" s="53" t="s">
        <v>90</v>
      </c>
      <c r="BT1" s="53" t="s">
        <v>91</v>
      </c>
      <c r="BU1" s="53" t="s">
        <v>92</v>
      </c>
      <c r="BV1" s="53" t="s">
        <v>93</v>
      </c>
      <c r="BW1" s="53" t="s">
        <v>94</v>
      </c>
      <c r="BX1" s="53" t="s">
        <v>95</v>
      </c>
      <c r="BY1" s="53" t="s">
        <v>96</v>
      </c>
      <c r="BZ1" s="53" t="s">
        <v>97</v>
      </c>
      <c r="CA1" s="53" t="s">
        <v>98</v>
      </c>
      <c r="CB1" s="53" t="s">
        <v>99</v>
      </c>
      <c r="CC1" s="53" t="s">
        <v>100</v>
      </c>
      <c r="CD1" s="53" t="s">
        <v>101</v>
      </c>
      <c r="CE1" s="53" t="s">
        <v>102</v>
      </c>
      <c r="CF1" s="53" t="s">
        <v>103</v>
      </c>
      <c r="CG1" s="53" t="s">
        <v>104</v>
      </c>
      <c r="CH1" s="53" t="s">
        <v>105</v>
      </c>
      <c r="CI1" s="53" t="s">
        <v>106</v>
      </c>
      <c r="CJ1" s="53" t="s">
        <v>107</v>
      </c>
      <c r="CK1" s="53" t="s">
        <v>108</v>
      </c>
      <c r="CL1" s="53" t="s">
        <v>109</v>
      </c>
      <c r="CM1" s="53" t="s">
        <v>110</v>
      </c>
      <c r="CN1" s="53" t="s">
        <v>111</v>
      </c>
      <c r="CO1" s="53" t="s">
        <v>112</v>
      </c>
      <c r="CP1" s="53" t="s">
        <v>113</v>
      </c>
      <c r="CQ1" s="53" t="s">
        <v>114</v>
      </c>
      <c r="CR1" s="53" t="s">
        <v>115</v>
      </c>
      <c r="CS1" s="53" t="s">
        <v>116</v>
      </c>
      <c r="CT1" s="53" t="s">
        <v>117</v>
      </c>
      <c r="CU1" s="53" t="s">
        <v>118</v>
      </c>
      <c r="CV1" s="53" t="s">
        <v>119</v>
      </c>
      <c r="CW1" s="53" t="s">
        <v>120</v>
      </c>
      <c r="CX1" s="53" t="s">
        <v>121</v>
      </c>
      <c r="CY1" s="53" t="s">
        <v>122</v>
      </c>
      <c r="CZ1" s="53" t="s">
        <v>123</v>
      </c>
      <c r="DA1" s="53" t="s">
        <v>124</v>
      </c>
      <c r="DB1" s="53" t="s">
        <v>125</v>
      </c>
      <c r="DC1" s="53" t="s">
        <v>126</v>
      </c>
      <c r="DD1" s="53" t="s">
        <v>127</v>
      </c>
      <c r="DE1" s="53" t="s">
        <v>128</v>
      </c>
      <c r="DF1" s="53" t="s">
        <v>129</v>
      </c>
      <c r="DG1" s="53" t="s">
        <v>130</v>
      </c>
      <c r="DH1" s="53" t="s">
        <v>131</v>
      </c>
      <c r="DI1" s="53" t="s">
        <v>132</v>
      </c>
    </row>
    <row r="2" spans="1:113">
      <c r="A2" s="55" t="s">
        <v>133</v>
      </c>
      <c r="B2" s="55" t="s">
        <v>134</v>
      </c>
      <c r="C2" s="55" t="s">
        <v>135</v>
      </c>
      <c r="D2" s="55" t="b">
        <v>0</v>
      </c>
      <c r="E2" s="55" t="b">
        <v>0</v>
      </c>
      <c r="F2" s="55" t="s">
        <v>136</v>
      </c>
      <c r="G2" s="55" t="s">
        <v>137</v>
      </c>
      <c r="H2" s="55" t="s">
        <v>138</v>
      </c>
      <c r="I2" s="55" t="s">
        <v>139</v>
      </c>
      <c r="J2" s="55" t="s">
        <v>136</v>
      </c>
      <c r="K2" s="55" t="b">
        <v>0</v>
      </c>
      <c r="L2" s="56">
        <v>45800.387152777781</v>
      </c>
      <c r="O2" s="55">
        <v>0</v>
      </c>
      <c r="P2" s="56">
        <v>45238.580659722233</v>
      </c>
      <c r="Q2" s="56">
        <v>45895.941145833327</v>
      </c>
      <c r="R2" s="57">
        <v>8</v>
      </c>
      <c r="S2" s="55" t="s">
        <v>140</v>
      </c>
      <c r="T2" s="57">
        <v>16384</v>
      </c>
      <c r="U2" s="55">
        <v>983</v>
      </c>
      <c r="V2" s="55">
        <v>3</v>
      </c>
      <c r="W2" s="55">
        <v>5</v>
      </c>
      <c r="X2" s="58">
        <v>12685312</v>
      </c>
      <c r="Z2" s="55" t="s">
        <v>141</v>
      </c>
      <c r="AA2" s="55" t="s">
        <v>142</v>
      </c>
      <c r="AD2" s="55" t="b">
        <v>1</v>
      </c>
      <c r="AE2" s="55" t="s">
        <v>143</v>
      </c>
      <c r="AF2" s="55" t="s">
        <v>144</v>
      </c>
      <c r="AG2" s="55" t="s">
        <v>145</v>
      </c>
      <c r="AH2" s="55" t="s">
        <v>146</v>
      </c>
      <c r="AN2" s="55">
        <v>1</v>
      </c>
      <c r="AO2" s="55">
        <v>16384</v>
      </c>
      <c r="AP2" s="55" t="s">
        <v>147</v>
      </c>
      <c r="AQ2" s="55" t="s">
        <v>148</v>
      </c>
      <c r="AR2" s="55" t="s">
        <v>149</v>
      </c>
      <c r="AT2" s="55" t="b">
        <v>1</v>
      </c>
      <c r="AU2" s="55" t="s">
        <v>150</v>
      </c>
      <c r="AW2" s="55" t="s">
        <v>151</v>
      </c>
      <c r="AX2" s="55">
        <v>-1</v>
      </c>
      <c r="AY2" s="55">
        <v>-1</v>
      </c>
      <c r="BA2" s="55">
        <v>12701787</v>
      </c>
      <c r="BB2" s="55">
        <v>12701787</v>
      </c>
      <c r="BC2" s="55">
        <v>12685312</v>
      </c>
      <c r="BD2" s="55" t="s">
        <v>152</v>
      </c>
      <c r="BE2" s="55" t="s">
        <v>153</v>
      </c>
      <c r="BF2" s="55" t="s">
        <v>154</v>
      </c>
      <c r="BI2" s="55" t="b">
        <v>0</v>
      </c>
      <c r="BJ2" s="55">
        <v>0</v>
      </c>
      <c r="BK2" s="55">
        <v>10000</v>
      </c>
      <c r="BL2" s="55" t="b">
        <v>0</v>
      </c>
      <c r="BM2" s="55" t="b">
        <v>0</v>
      </c>
      <c r="BO2" s="55" t="b">
        <v>0</v>
      </c>
      <c r="BP2" s="55" t="s">
        <v>155</v>
      </c>
      <c r="BQ2" s="55">
        <v>19</v>
      </c>
      <c r="BR2" s="55" t="s">
        <v>153</v>
      </c>
      <c r="BS2" s="55" t="s">
        <v>156</v>
      </c>
      <c r="BU2" s="55" t="s">
        <v>157</v>
      </c>
      <c r="BV2" s="55" t="s">
        <v>158</v>
      </c>
      <c r="BW2" s="55" t="s">
        <v>158</v>
      </c>
      <c r="BX2" s="55" t="s">
        <v>158</v>
      </c>
      <c r="BZ2" s="55" t="s">
        <v>159</v>
      </c>
      <c r="CA2" s="55" t="s">
        <v>160</v>
      </c>
      <c r="CI2" s="55" t="s">
        <v>161</v>
      </c>
      <c r="CJ2" s="55" t="s">
        <v>162</v>
      </c>
      <c r="CK2" s="55" t="s">
        <v>163</v>
      </c>
      <c r="CL2" s="55" t="s">
        <v>164</v>
      </c>
      <c r="CM2" s="55" t="s">
        <v>165</v>
      </c>
      <c r="CN2" s="55" t="s">
        <v>166</v>
      </c>
      <c r="CP2" s="55" t="s">
        <v>167</v>
      </c>
      <c r="CQ2" s="55" t="s">
        <v>168</v>
      </c>
      <c r="CR2" s="55" t="s">
        <v>169</v>
      </c>
      <c r="CS2" s="55" t="s">
        <v>170</v>
      </c>
      <c r="CT2" s="55" t="s">
        <v>171</v>
      </c>
      <c r="CU2" s="55" t="s">
        <v>172</v>
      </c>
      <c r="CV2" s="55" t="s">
        <v>173</v>
      </c>
    </row>
    <row r="3" spans="1:113">
      <c r="A3" s="55" t="s">
        <v>174</v>
      </c>
      <c r="B3" s="55" t="s">
        <v>175</v>
      </c>
      <c r="C3" s="55" t="s">
        <v>135</v>
      </c>
      <c r="D3" s="55" t="b">
        <v>0</v>
      </c>
      <c r="E3" s="55" t="b">
        <v>0</v>
      </c>
      <c r="F3" s="55" t="s">
        <v>136</v>
      </c>
      <c r="G3" s="55" t="s">
        <v>176</v>
      </c>
      <c r="H3" s="55" t="s">
        <v>138</v>
      </c>
      <c r="I3" s="55" t="s">
        <v>139</v>
      </c>
      <c r="J3" s="55" t="s">
        <v>151</v>
      </c>
      <c r="K3" s="55" t="b">
        <v>0</v>
      </c>
      <c r="L3" s="56">
        <v>45800.539027777777</v>
      </c>
      <c r="O3" s="55">
        <v>0</v>
      </c>
      <c r="P3" s="56">
        <v>45238.582094907397</v>
      </c>
      <c r="Q3" s="56">
        <v>45899.282372685193</v>
      </c>
      <c r="R3" s="57">
        <v>8</v>
      </c>
      <c r="S3" s="55" t="s">
        <v>140</v>
      </c>
      <c r="T3" s="57">
        <v>16384</v>
      </c>
      <c r="U3" s="55">
        <v>1474</v>
      </c>
      <c r="V3" s="55">
        <v>3</v>
      </c>
      <c r="W3" s="55">
        <v>11</v>
      </c>
      <c r="X3" s="58">
        <v>27365376</v>
      </c>
      <c r="Z3" s="55" t="s">
        <v>177</v>
      </c>
      <c r="AA3" s="55" t="s">
        <v>142</v>
      </c>
      <c r="AD3" s="55" t="b">
        <v>1</v>
      </c>
      <c r="AE3" s="55" t="s">
        <v>178</v>
      </c>
      <c r="AF3" s="55" t="s">
        <v>144</v>
      </c>
      <c r="AG3" s="55" t="s">
        <v>145</v>
      </c>
      <c r="AH3" s="55" t="s">
        <v>146</v>
      </c>
      <c r="AN3" s="55">
        <v>1</v>
      </c>
      <c r="AO3" s="55">
        <v>4096</v>
      </c>
      <c r="AP3" s="55" t="s">
        <v>147</v>
      </c>
      <c r="AQ3" s="55" t="s">
        <v>148</v>
      </c>
      <c r="AR3" s="55" t="s">
        <v>149</v>
      </c>
      <c r="AT3" s="55" t="b">
        <v>1</v>
      </c>
      <c r="AU3" s="55" t="s">
        <v>150</v>
      </c>
      <c r="AW3" s="55" t="s">
        <v>151</v>
      </c>
      <c r="AX3" s="55">
        <v>-1</v>
      </c>
      <c r="AY3" s="55">
        <v>-1</v>
      </c>
      <c r="BA3" s="55">
        <v>27381848</v>
      </c>
      <c r="BB3" s="55">
        <v>27381848</v>
      </c>
      <c r="BC3" s="55">
        <v>27365376</v>
      </c>
      <c r="BD3" s="55" t="s">
        <v>152</v>
      </c>
      <c r="BE3" s="55" t="s">
        <v>153</v>
      </c>
      <c r="BF3" s="55" t="s">
        <v>154</v>
      </c>
      <c r="BI3" s="55" t="b">
        <v>0</v>
      </c>
      <c r="BJ3" s="55">
        <v>10000</v>
      </c>
      <c r="BK3" s="55">
        <v>10000</v>
      </c>
      <c r="BL3" s="55" t="b">
        <v>0</v>
      </c>
      <c r="BM3" s="55" t="b">
        <v>0</v>
      </c>
      <c r="BO3" s="55" t="b">
        <v>0</v>
      </c>
      <c r="BP3" s="55" t="s">
        <v>155</v>
      </c>
      <c r="BQ3" s="55">
        <v>19</v>
      </c>
      <c r="BR3" s="55" t="s">
        <v>153</v>
      </c>
      <c r="BS3" s="55" t="s">
        <v>156</v>
      </c>
      <c r="BU3" s="55" t="s">
        <v>179</v>
      </c>
      <c r="BV3" s="55" t="s">
        <v>180</v>
      </c>
      <c r="BW3" s="55" t="s">
        <v>180</v>
      </c>
      <c r="BX3" s="55" t="s">
        <v>180</v>
      </c>
      <c r="BZ3" s="55" t="s">
        <v>181</v>
      </c>
      <c r="CA3" s="55" t="s">
        <v>182</v>
      </c>
      <c r="CI3" s="55" t="s">
        <v>161</v>
      </c>
      <c r="CJ3" s="55" t="s">
        <v>162</v>
      </c>
      <c r="CK3" s="55" t="s">
        <v>183</v>
      </c>
      <c r="CL3" s="55" t="s">
        <v>164</v>
      </c>
      <c r="CM3" s="55" t="s">
        <v>165</v>
      </c>
      <c r="CN3" s="55" t="s">
        <v>166</v>
      </c>
      <c r="CP3" s="55" t="s">
        <v>184</v>
      </c>
      <c r="CQ3" s="55" t="s">
        <v>185</v>
      </c>
      <c r="CR3" s="55" t="s">
        <v>186</v>
      </c>
      <c r="CS3" s="55" t="s">
        <v>170</v>
      </c>
      <c r="CT3" s="55" t="s">
        <v>171</v>
      </c>
      <c r="CU3" s="55" t="s">
        <v>172</v>
      </c>
      <c r="CV3" s="55" t="s">
        <v>173</v>
      </c>
    </row>
    <row r="4" spans="1:113">
      <c r="A4" s="55" t="s">
        <v>187</v>
      </c>
      <c r="B4" s="55" t="s">
        <v>188</v>
      </c>
      <c r="C4" s="55" t="s">
        <v>135</v>
      </c>
      <c r="D4" s="55" t="b">
        <v>0</v>
      </c>
      <c r="E4" s="55" t="b">
        <v>0</v>
      </c>
      <c r="F4" s="55" t="s">
        <v>136</v>
      </c>
      <c r="G4" s="55" t="s">
        <v>189</v>
      </c>
      <c r="H4" s="55" t="s">
        <v>138</v>
      </c>
      <c r="I4" s="55" t="s">
        <v>139</v>
      </c>
      <c r="J4" s="55" t="s">
        <v>136</v>
      </c>
      <c r="K4" s="55" t="b">
        <v>0</v>
      </c>
      <c r="L4" s="56">
        <v>45868.518923611111</v>
      </c>
      <c r="O4" s="55">
        <v>0</v>
      </c>
      <c r="P4" s="56">
        <v>45233.612997685188</v>
      </c>
      <c r="Q4" s="56">
        <v>45874.696180555547</v>
      </c>
      <c r="R4" s="57">
        <v>4</v>
      </c>
      <c r="S4" s="55" t="s">
        <v>140</v>
      </c>
      <c r="T4" s="57">
        <v>16384</v>
      </c>
      <c r="U4" s="55">
        <v>983</v>
      </c>
      <c r="V4" s="55">
        <v>1</v>
      </c>
      <c r="W4" s="55">
        <v>1</v>
      </c>
      <c r="X4" s="58">
        <v>122880</v>
      </c>
      <c r="Z4" s="55" t="s">
        <v>177</v>
      </c>
      <c r="AA4" s="55" t="s">
        <v>142</v>
      </c>
      <c r="AD4" s="55" t="b">
        <v>1</v>
      </c>
      <c r="AE4" s="55" t="s">
        <v>190</v>
      </c>
      <c r="AF4" s="55" t="s">
        <v>191</v>
      </c>
      <c r="AN4" s="55">
        <v>1</v>
      </c>
      <c r="AO4" s="55">
        <v>8192</v>
      </c>
      <c r="AP4" s="55" t="s">
        <v>147</v>
      </c>
      <c r="AQ4" s="55" t="s">
        <v>192</v>
      </c>
      <c r="AR4" s="55" t="s">
        <v>193</v>
      </c>
      <c r="AT4" s="55" t="b">
        <v>1</v>
      </c>
      <c r="AU4" s="55" t="s">
        <v>150</v>
      </c>
      <c r="AW4" s="55" t="s">
        <v>151</v>
      </c>
      <c r="AX4" s="55">
        <v>-1</v>
      </c>
      <c r="AY4" s="55">
        <v>-1</v>
      </c>
      <c r="BA4" s="55">
        <v>139437</v>
      </c>
      <c r="BB4" s="55">
        <v>139437</v>
      </c>
      <c r="BC4" s="55">
        <v>122880</v>
      </c>
      <c r="BD4" s="55" t="s">
        <v>152</v>
      </c>
      <c r="BE4" s="55" t="s">
        <v>153</v>
      </c>
      <c r="BF4" s="55" t="s">
        <v>154</v>
      </c>
      <c r="BI4" s="55" t="b">
        <v>0</v>
      </c>
      <c r="BJ4" s="55">
        <v>0</v>
      </c>
      <c r="BK4" s="55">
        <v>10000</v>
      </c>
      <c r="BL4" s="55" t="b">
        <v>0</v>
      </c>
      <c r="BM4" s="55" t="b">
        <v>0</v>
      </c>
      <c r="BO4" s="55" t="b">
        <v>0</v>
      </c>
      <c r="BP4" s="55" t="s">
        <v>155</v>
      </c>
      <c r="BQ4" s="55">
        <v>19</v>
      </c>
      <c r="BR4" s="55" t="s">
        <v>153</v>
      </c>
      <c r="BS4" s="55" t="s">
        <v>156</v>
      </c>
      <c r="BU4" s="55" t="s">
        <v>194</v>
      </c>
      <c r="BV4" s="55" t="s">
        <v>195</v>
      </c>
      <c r="BW4" s="55" t="s">
        <v>195</v>
      </c>
      <c r="BX4" s="55" t="s">
        <v>195</v>
      </c>
      <c r="BZ4" s="55" t="s">
        <v>196</v>
      </c>
      <c r="CA4" s="55" t="s">
        <v>197</v>
      </c>
      <c r="CI4" s="55" t="s">
        <v>161</v>
      </c>
      <c r="CJ4" s="55" t="s">
        <v>162</v>
      </c>
      <c r="CK4" s="55" t="s">
        <v>198</v>
      </c>
      <c r="CL4" s="55" t="s">
        <v>199</v>
      </c>
      <c r="CM4" s="55" t="s">
        <v>199</v>
      </c>
      <c r="CN4" s="55" t="s">
        <v>166</v>
      </c>
      <c r="CP4" s="55" t="s">
        <v>200</v>
      </c>
      <c r="CQ4" s="55" t="s">
        <v>201</v>
      </c>
      <c r="CR4" s="55" t="s">
        <v>202</v>
      </c>
      <c r="CS4" s="55" t="s">
        <v>170</v>
      </c>
      <c r="CT4" s="55" t="s">
        <v>171</v>
      </c>
      <c r="CU4" s="55" t="s">
        <v>172</v>
      </c>
      <c r="CV4" s="55" t="s">
        <v>173</v>
      </c>
    </row>
    <row r="5" spans="1:113">
      <c r="A5" s="55" t="s">
        <v>203</v>
      </c>
      <c r="B5" s="55" t="s">
        <v>204</v>
      </c>
      <c r="C5" s="55" t="s">
        <v>135</v>
      </c>
      <c r="D5" s="55" t="b">
        <v>0</v>
      </c>
      <c r="E5" s="55" t="b">
        <v>0</v>
      </c>
      <c r="F5" s="55" t="s">
        <v>136</v>
      </c>
      <c r="G5" s="55" t="s">
        <v>205</v>
      </c>
      <c r="H5" s="55" t="s">
        <v>138</v>
      </c>
      <c r="I5" s="55" t="s">
        <v>139</v>
      </c>
      <c r="J5" s="55" t="s">
        <v>136</v>
      </c>
      <c r="K5" s="55" t="b">
        <v>0</v>
      </c>
      <c r="L5" s="56">
        <v>45870.626979166656</v>
      </c>
      <c r="O5" s="55">
        <v>0</v>
      </c>
      <c r="P5" s="56">
        <v>45275.721446759257</v>
      </c>
      <c r="Q5" s="56">
        <v>45900.01635416667</v>
      </c>
      <c r="R5" s="57">
        <v>4</v>
      </c>
      <c r="S5" s="55" t="s">
        <v>140</v>
      </c>
      <c r="T5" s="57">
        <v>16384</v>
      </c>
      <c r="U5" s="55">
        <v>1310</v>
      </c>
      <c r="V5" s="55">
        <v>3</v>
      </c>
      <c r="W5" s="55">
        <v>3</v>
      </c>
      <c r="X5" s="58">
        <v>614400</v>
      </c>
      <c r="Z5" s="55" t="s">
        <v>177</v>
      </c>
      <c r="AA5" s="55" t="s">
        <v>142</v>
      </c>
      <c r="AC5" s="55" t="b">
        <v>1</v>
      </c>
      <c r="AD5" s="55" t="b">
        <v>1</v>
      </c>
      <c r="AE5" s="55" t="s">
        <v>206</v>
      </c>
      <c r="AF5" s="55" t="s">
        <v>144</v>
      </c>
      <c r="AG5" s="55" t="s">
        <v>207</v>
      </c>
      <c r="AH5" s="55" t="s">
        <v>145</v>
      </c>
      <c r="AN5" s="55">
        <v>1</v>
      </c>
      <c r="AO5" s="55">
        <v>16384</v>
      </c>
      <c r="AP5" s="55" t="s">
        <v>147</v>
      </c>
      <c r="AQ5" s="55" t="s">
        <v>192</v>
      </c>
      <c r="AR5" s="55" t="s">
        <v>193</v>
      </c>
      <c r="AT5" s="55" t="b">
        <v>1</v>
      </c>
      <c r="AU5" s="55" t="s">
        <v>150</v>
      </c>
      <c r="AW5" s="55" t="s">
        <v>151</v>
      </c>
      <c r="AX5" s="55">
        <v>-1</v>
      </c>
      <c r="AY5" s="55">
        <v>-1</v>
      </c>
      <c r="BA5" s="55">
        <v>630977</v>
      </c>
      <c r="BB5" s="55">
        <v>630977</v>
      </c>
      <c r="BC5" s="55">
        <v>614400</v>
      </c>
      <c r="BD5" s="55" t="s">
        <v>152</v>
      </c>
      <c r="BE5" s="55" t="s">
        <v>153</v>
      </c>
      <c r="BF5" s="55" t="s">
        <v>154</v>
      </c>
      <c r="BI5" s="55" t="b">
        <v>0</v>
      </c>
      <c r="BJ5" s="55">
        <v>0</v>
      </c>
      <c r="BK5" s="55">
        <v>10000</v>
      </c>
      <c r="BL5" s="55" t="b">
        <v>0</v>
      </c>
      <c r="BM5" s="55" t="b">
        <v>0</v>
      </c>
      <c r="BO5" s="55" t="b">
        <v>0</v>
      </c>
      <c r="BP5" s="55" t="s">
        <v>155</v>
      </c>
      <c r="BQ5" s="55">
        <v>19</v>
      </c>
      <c r="BR5" s="55" t="s">
        <v>153</v>
      </c>
      <c r="BS5" s="55" t="s">
        <v>156</v>
      </c>
      <c r="BU5" s="55" t="s">
        <v>208</v>
      </c>
      <c r="BV5" s="55" t="s">
        <v>209</v>
      </c>
      <c r="BW5" s="55" t="s">
        <v>209</v>
      </c>
      <c r="BX5" s="55" t="s">
        <v>209</v>
      </c>
      <c r="BZ5" s="55" t="s">
        <v>210</v>
      </c>
      <c r="CA5" s="55" t="s">
        <v>211</v>
      </c>
      <c r="CI5" s="55" t="s">
        <v>161</v>
      </c>
      <c r="CJ5" s="55" t="s">
        <v>162</v>
      </c>
      <c r="CK5" s="55" t="s">
        <v>212</v>
      </c>
      <c r="CL5" s="55" t="s">
        <v>213</v>
      </c>
      <c r="CM5" s="55" t="s">
        <v>213</v>
      </c>
      <c r="CN5" s="55" t="s">
        <v>166</v>
      </c>
      <c r="CP5" s="55" t="s">
        <v>214</v>
      </c>
      <c r="CQ5" s="55" t="s">
        <v>215</v>
      </c>
      <c r="CR5" s="55" t="s">
        <v>216</v>
      </c>
      <c r="CS5" s="55" t="s">
        <v>170</v>
      </c>
      <c r="CT5" s="55" t="s">
        <v>171</v>
      </c>
      <c r="CU5" s="55" t="s">
        <v>172</v>
      </c>
      <c r="CV5" s="55" t="s">
        <v>173</v>
      </c>
    </row>
    <row r="6" spans="1:113">
      <c r="A6" s="55" t="s">
        <v>217</v>
      </c>
      <c r="B6" s="55" t="s">
        <v>218</v>
      </c>
      <c r="C6" s="55" t="s">
        <v>135</v>
      </c>
      <c r="D6" s="55" t="b">
        <v>0</v>
      </c>
      <c r="E6" s="55" t="b">
        <v>0</v>
      </c>
      <c r="F6" s="55" t="s">
        <v>136</v>
      </c>
      <c r="G6" s="55" t="s">
        <v>219</v>
      </c>
      <c r="H6" s="55" t="s">
        <v>138</v>
      </c>
      <c r="I6" s="55" t="s">
        <v>139</v>
      </c>
      <c r="J6" s="55" t="s">
        <v>151</v>
      </c>
      <c r="K6" s="55" t="b">
        <v>0</v>
      </c>
      <c r="L6" s="56">
        <v>45498.981122685182</v>
      </c>
      <c r="O6" s="55">
        <v>0</v>
      </c>
      <c r="P6" s="56">
        <v>45303.698773148149</v>
      </c>
      <c r="Q6" s="56">
        <v>45902.218611111108</v>
      </c>
      <c r="R6" s="57">
        <v>8</v>
      </c>
      <c r="S6" s="55" t="s">
        <v>140</v>
      </c>
      <c r="T6" s="57">
        <v>16384</v>
      </c>
      <c r="U6" s="55">
        <v>163</v>
      </c>
      <c r="V6" s="55">
        <v>3</v>
      </c>
      <c r="W6" s="55">
        <v>1</v>
      </c>
      <c r="X6" s="58">
        <v>122880</v>
      </c>
      <c r="Z6" s="55" t="s">
        <v>177</v>
      </c>
      <c r="AA6" s="55" t="s">
        <v>142</v>
      </c>
      <c r="AD6" s="55" t="b">
        <v>1</v>
      </c>
      <c r="AE6" s="55" t="s">
        <v>220</v>
      </c>
      <c r="AF6" s="55" t="s">
        <v>144</v>
      </c>
      <c r="AG6" s="55" t="s">
        <v>207</v>
      </c>
      <c r="AH6" s="55" t="s">
        <v>221</v>
      </c>
      <c r="AN6" s="55">
        <v>1</v>
      </c>
      <c r="AO6" s="55">
        <v>8192</v>
      </c>
      <c r="AP6" s="55" t="s">
        <v>147</v>
      </c>
      <c r="AQ6" s="55" t="s">
        <v>192</v>
      </c>
      <c r="AR6" s="55" t="s">
        <v>193</v>
      </c>
      <c r="AT6" s="55" t="b">
        <v>1</v>
      </c>
      <c r="AU6" s="55" t="s">
        <v>150</v>
      </c>
      <c r="AW6" s="55" t="s">
        <v>151</v>
      </c>
      <c r="AX6" s="55">
        <v>-1</v>
      </c>
      <c r="AY6" s="55">
        <v>-1</v>
      </c>
      <c r="BA6" s="55">
        <v>139355</v>
      </c>
      <c r="BB6" s="55">
        <v>139355</v>
      </c>
      <c r="BC6" s="55">
        <v>122880</v>
      </c>
      <c r="BD6" s="55" t="s">
        <v>152</v>
      </c>
      <c r="BE6" s="55" t="s">
        <v>153</v>
      </c>
      <c r="BF6" s="55" t="s">
        <v>154</v>
      </c>
      <c r="BI6" s="55" t="b">
        <v>0</v>
      </c>
      <c r="BJ6" s="55">
        <v>0</v>
      </c>
      <c r="BK6" s="55">
        <v>10000</v>
      </c>
      <c r="BL6" s="55" t="b">
        <v>0</v>
      </c>
      <c r="BM6" s="55" t="b">
        <v>0</v>
      </c>
      <c r="BO6" s="55" t="b">
        <v>0</v>
      </c>
      <c r="BP6" s="55" t="s">
        <v>155</v>
      </c>
      <c r="BQ6" s="55">
        <v>19</v>
      </c>
      <c r="BR6" s="55" t="s">
        <v>153</v>
      </c>
      <c r="BS6" s="55" t="s">
        <v>156</v>
      </c>
      <c r="BU6" s="55" t="s">
        <v>222</v>
      </c>
      <c r="BV6" s="55" t="s">
        <v>223</v>
      </c>
      <c r="BW6" s="55" t="s">
        <v>223</v>
      </c>
      <c r="BX6" s="55" t="s">
        <v>223</v>
      </c>
      <c r="BZ6" s="55" t="s">
        <v>224</v>
      </c>
      <c r="CA6" s="55" t="s">
        <v>225</v>
      </c>
      <c r="CI6" s="55" t="s">
        <v>161</v>
      </c>
      <c r="CJ6" s="55" t="s">
        <v>162</v>
      </c>
      <c r="CK6" s="55" t="s">
        <v>226</v>
      </c>
      <c r="CL6" s="55" t="s">
        <v>227</v>
      </c>
      <c r="CM6" s="55" t="s">
        <v>227</v>
      </c>
      <c r="CN6" s="55" t="s">
        <v>166</v>
      </c>
      <c r="CP6" s="55" t="s">
        <v>228</v>
      </c>
      <c r="CQ6" s="55" t="s">
        <v>229</v>
      </c>
      <c r="CR6" s="55" t="s">
        <v>230</v>
      </c>
      <c r="CS6" s="55" t="s">
        <v>170</v>
      </c>
      <c r="CT6" s="55" t="s">
        <v>171</v>
      </c>
      <c r="CU6" s="55" t="s">
        <v>172</v>
      </c>
      <c r="CV6" s="55" t="s">
        <v>173</v>
      </c>
    </row>
    <row r="7" spans="1:113">
      <c r="A7" s="55" t="s">
        <v>231</v>
      </c>
      <c r="B7" s="55" t="s">
        <v>232</v>
      </c>
      <c r="C7" s="55" t="s">
        <v>135</v>
      </c>
      <c r="D7" s="55" t="b">
        <v>0</v>
      </c>
      <c r="E7" s="55" t="b">
        <v>0</v>
      </c>
      <c r="F7" s="55" t="s">
        <v>136</v>
      </c>
      <c r="G7" s="55" t="s">
        <v>233</v>
      </c>
      <c r="H7" s="55" t="s">
        <v>138</v>
      </c>
      <c r="I7" s="55" t="s">
        <v>139</v>
      </c>
      <c r="J7" s="55" t="s">
        <v>136</v>
      </c>
      <c r="K7" s="55" t="b">
        <v>0</v>
      </c>
      <c r="L7" s="56">
        <v>45882.530740740738</v>
      </c>
      <c r="O7" s="55">
        <v>0</v>
      </c>
      <c r="P7" s="56">
        <v>45355.501006944447</v>
      </c>
      <c r="Q7" s="56">
        <v>45898.004537037043</v>
      </c>
      <c r="R7" s="57">
        <v>8</v>
      </c>
      <c r="S7" s="55" t="s">
        <v>140</v>
      </c>
      <c r="T7" s="57">
        <v>16384</v>
      </c>
      <c r="U7" s="55">
        <v>1638</v>
      </c>
      <c r="V7" s="55">
        <v>4</v>
      </c>
      <c r="W7" s="55">
        <v>3</v>
      </c>
      <c r="X7" s="58">
        <v>942080</v>
      </c>
      <c r="Z7" s="55" t="s">
        <v>177</v>
      </c>
      <c r="AA7" s="55" t="s">
        <v>142</v>
      </c>
      <c r="AC7" s="55" t="b">
        <v>1</v>
      </c>
      <c r="AD7" s="55" t="b">
        <v>1</v>
      </c>
      <c r="AE7" s="55" t="s">
        <v>234</v>
      </c>
      <c r="AF7" s="55" t="s">
        <v>145</v>
      </c>
      <c r="AG7" s="55" t="s">
        <v>144</v>
      </c>
      <c r="AH7" s="55" t="s">
        <v>207</v>
      </c>
      <c r="AI7" s="55" t="s">
        <v>235</v>
      </c>
      <c r="AN7" s="55">
        <v>1</v>
      </c>
      <c r="AO7" s="55">
        <v>16384</v>
      </c>
      <c r="AP7" s="55" t="s">
        <v>147</v>
      </c>
      <c r="AQ7" s="55" t="s">
        <v>192</v>
      </c>
      <c r="AR7" s="55" t="s">
        <v>193</v>
      </c>
      <c r="AT7" s="55" t="b">
        <v>1</v>
      </c>
      <c r="AU7" s="55" t="s">
        <v>150</v>
      </c>
      <c r="AW7" s="55" t="s">
        <v>151</v>
      </c>
      <c r="AX7" s="55">
        <v>-1</v>
      </c>
      <c r="AY7" s="55">
        <v>-1</v>
      </c>
      <c r="BA7" s="55">
        <v>958589</v>
      </c>
      <c r="BB7" s="55">
        <v>958589</v>
      </c>
      <c r="BC7" s="55">
        <v>942080</v>
      </c>
      <c r="BD7" s="55" t="s">
        <v>152</v>
      </c>
      <c r="BE7" s="55" t="s">
        <v>153</v>
      </c>
      <c r="BF7" s="55" t="s">
        <v>154</v>
      </c>
      <c r="BI7" s="55" t="b">
        <v>0</v>
      </c>
      <c r="BJ7" s="55">
        <v>0</v>
      </c>
      <c r="BK7" s="55">
        <v>10000</v>
      </c>
      <c r="BL7" s="55" t="b">
        <v>0</v>
      </c>
      <c r="BM7" s="55" t="b">
        <v>0</v>
      </c>
      <c r="BO7" s="55" t="b">
        <v>1</v>
      </c>
      <c r="BP7" s="55" t="s">
        <v>236</v>
      </c>
      <c r="BQ7" s="55">
        <v>19</v>
      </c>
      <c r="BR7" s="55" t="s">
        <v>153</v>
      </c>
      <c r="BS7" s="55" t="s">
        <v>156</v>
      </c>
      <c r="BU7" s="55" t="s">
        <v>237</v>
      </c>
      <c r="BV7" s="55" t="s">
        <v>238</v>
      </c>
      <c r="BW7" s="55" t="s">
        <v>238</v>
      </c>
      <c r="BX7" s="55" t="s">
        <v>238</v>
      </c>
      <c r="BY7" s="55" t="s">
        <v>239</v>
      </c>
      <c r="BZ7" s="55" t="s">
        <v>240</v>
      </c>
      <c r="CA7" s="55" t="s">
        <v>241</v>
      </c>
      <c r="CI7" s="55" t="s">
        <v>161</v>
      </c>
      <c r="CJ7" s="55" t="s">
        <v>162</v>
      </c>
      <c r="CK7" s="55" t="s">
        <v>242</v>
      </c>
      <c r="CL7" s="55" t="s">
        <v>213</v>
      </c>
      <c r="CM7" s="55" t="s">
        <v>213</v>
      </c>
      <c r="CN7" s="55" t="s">
        <v>166</v>
      </c>
      <c r="CP7" s="55" t="s">
        <v>243</v>
      </c>
      <c r="CQ7" s="55" t="s">
        <v>244</v>
      </c>
      <c r="CR7" s="55" t="s">
        <v>245</v>
      </c>
      <c r="CS7" s="55" t="s">
        <v>170</v>
      </c>
      <c r="CT7" s="55" t="s">
        <v>171</v>
      </c>
      <c r="CU7" s="55" t="s">
        <v>172</v>
      </c>
      <c r="CV7" s="55" t="s">
        <v>173</v>
      </c>
    </row>
    <row r="8" spans="1:113">
      <c r="A8" s="55" t="s">
        <v>246</v>
      </c>
      <c r="B8" s="55" t="s">
        <v>247</v>
      </c>
      <c r="C8" s="55" t="s">
        <v>135</v>
      </c>
      <c r="D8" s="55" t="b">
        <v>0</v>
      </c>
      <c r="E8" s="55" t="b">
        <v>0</v>
      </c>
      <c r="F8" s="55" t="s">
        <v>136</v>
      </c>
      <c r="G8" s="55" t="s">
        <v>248</v>
      </c>
      <c r="H8" s="55" t="s">
        <v>138</v>
      </c>
      <c r="I8" s="55" t="s">
        <v>139</v>
      </c>
      <c r="J8" s="55" t="s">
        <v>136</v>
      </c>
      <c r="K8" s="55" t="b">
        <v>0</v>
      </c>
      <c r="L8" s="56">
        <v>45895.056261574071</v>
      </c>
      <c r="O8" s="55">
        <v>0</v>
      </c>
      <c r="P8" s="56">
        <v>45366.489027777781</v>
      </c>
      <c r="Q8" s="56">
        <v>45901.052523148152</v>
      </c>
      <c r="R8" s="57">
        <v>4</v>
      </c>
      <c r="S8" s="55" t="s">
        <v>140</v>
      </c>
      <c r="T8" s="57">
        <v>16384</v>
      </c>
      <c r="U8" s="55">
        <v>1146</v>
      </c>
      <c r="V8" s="55">
        <v>3</v>
      </c>
      <c r="W8" s="55">
        <v>3</v>
      </c>
      <c r="X8" s="58">
        <v>481280</v>
      </c>
      <c r="Z8" s="55" t="s">
        <v>177</v>
      </c>
      <c r="AA8" s="55" t="s">
        <v>142</v>
      </c>
      <c r="AC8" s="55" t="b">
        <v>1</v>
      </c>
      <c r="AD8" s="55" t="b">
        <v>1</v>
      </c>
      <c r="AE8" s="55" t="s">
        <v>249</v>
      </c>
      <c r="AF8" s="55" t="s">
        <v>145</v>
      </c>
      <c r="AG8" s="55" t="s">
        <v>144</v>
      </c>
      <c r="AH8" s="55" t="s">
        <v>207</v>
      </c>
      <c r="AN8" s="55">
        <v>1</v>
      </c>
      <c r="AO8" s="55">
        <v>8192</v>
      </c>
      <c r="AP8" s="55" t="s">
        <v>147</v>
      </c>
      <c r="AQ8" s="55" t="s">
        <v>192</v>
      </c>
      <c r="AR8" s="55" t="s">
        <v>193</v>
      </c>
      <c r="AT8" s="55" t="b">
        <v>1</v>
      </c>
      <c r="AU8" s="55" t="s">
        <v>150</v>
      </c>
      <c r="AW8" s="55" t="s">
        <v>151</v>
      </c>
      <c r="AX8" s="55">
        <v>-1</v>
      </c>
      <c r="AY8" s="55">
        <v>-1</v>
      </c>
      <c r="BA8" s="55">
        <v>497848</v>
      </c>
      <c r="BB8" s="55">
        <v>497848</v>
      </c>
      <c r="BC8" s="55">
        <v>481280</v>
      </c>
      <c r="BD8" s="55" t="s">
        <v>152</v>
      </c>
      <c r="BE8" s="55" t="s">
        <v>153</v>
      </c>
      <c r="BF8" s="55" t="s">
        <v>154</v>
      </c>
      <c r="BI8" s="55" t="b">
        <v>0</v>
      </c>
      <c r="BJ8" s="55">
        <v>0</v>
      </c>
      <c r="BK8" s="55">
        <v>10000</v>
      </c>
      <c r="BL8" s="55" t="b">
        <v>0</v>
      </c>
      <c r="BM8" s="55" t="b">
        <v>0</v>
      </c>
      <c r="BO8" s="55" t="b">
        <v>0</v>
      </c>
      <c r="BP8" s="55" t="s">
        <v>155</v>
      </c>
      <c r="BQ8" s="55">
        <v>19</v>
      </c>
      <c r="BR8" s="55" t="s">
        <v>153</v>
      </c>
      <c r="BS8" s="55" t="s">
        <v>156</v>
      </c>
      <c r="BU8" s="55" t="s">
        <v>250</v>
      </c>
      <c r="BV8" s="55" t="s">
        <v>251</v>
      </c>
      <c r="BW8" s="55" t="s">
        <v>251</v>
      </c>
      <c r="BX8" s="55" t="s">
        <v>251</v>
      </c>
      <c r="BZ8" s="55" t="s">
        <v>252</v>
      </c>
      <c r="CA8" s="55" t="s">
        <v>253</v>
      </c>
      <c r="CI8" s="55" t="s">
        <v>161</v>
      </c>
      <c r="CJ8" s="55" t="s">
        <v>162</v>
      </c>
      <c r="CK8" s="55" t="s">
        <v>254</v>
      </c>
      <c r="CL8" s="55" t="s">
        <v>255</v>
      </c>
      <c r="CM8" s="55" t="s">
        <v>255</v>
      </c>
      <c r="CN8" s="55" t="s">
        <v>166</v>
      </c>
      <c r="CP8" s="55" t="s">
        <v>256</v>
      </c>
      <c r="CQ8" s="55" t="s">
        <v>257</v>
      </c>
      <c r="CR8" s="55" t="s">
        <v>258</v>
      </c>
      <c r="CS8" s="55" t="s">
        <v>170</v>
      </c>
      <c r="CT8" s="55" t="s">
        <v>171</v>
      </c>
      <c r="CU8" s="55" t="s">
        <v>172</v>
      </c>
      <c r="CV8" s="55" t="s">
        <v>173</v>
      </c>
    </row>
    <row r="9" spans="1:113">
      <c r="A9" s="55" t="s">
        <v>259</v>
      </c>
      <c r="B9" s="55" t="s">
        <v>260</v>
      </c>
      <c r="C9" s="55" t="s">
        <v>135</v>
      </c>
      <c r="D9" s="55" t="b">
        <v>0</v>
      </c>
      <c r="E9" s="55" t="b">
        <v>0</v>
      </c>
      <c r="F9" s="55" t="s">
        <v>136</v>
      </c>
      <c r="G9" s="55" t="s">
        <v>261</v>
      </c>
      <c r="H9" s="55" t="s">
        <v>138</v>
      </c>
      <c r="I9" s="55" t="s">
        <v>139</v>
      </c>
      <c r="J9" s="55" t="s">
        <v>136</v>
      </c>
      <c r="K9" s="55" t="b">
        <v>0</v>
      </c>
      <c r="L9" s="56">
        <v>45857.869976851849</v>
      </c>
      <c r="O9" s="55">
        <v>0</v>
      </c>
      <c r="P9" s="56">
        <v>45373.461747685193</v>
      </c>
      <c r="Q9" s="56">
        <v>45901.43478009259</v>
      </c>
      <c r="R9" s="57">
        <v>4</v>
      </c>
      <c r="S9" s="55" t="s">
        <v>140</v>
      </c>
      <c r="T9" s="57">
        <v>16384</v>
      </c>
      <c r="U9" s="55">
        <v>1310</v>
      </c>
      <c r="V9" s="55">
        <v>3</v>
      </c>
      <c r="W9" s="55">
        <v>5</v>
      </c>
      <c r="X9" s="58">
        <v>8869888</v>
      </c>
      <c r="Z9" s="55" t="s">
        <v>177</v>
      </c>
      <c r="AA9" s="55" t="s">
        <v>142</v>
      </c>
      <c r="AC9" s="55" t="b">
        <v>1</v>
      </c>
      <c r="AD9" s="55" t="b">
        <v>1</v>
      </c>
      <c r="AE9" s="55" t="s">
        <v>262</v>
      </c>
      <c r="AF9" s="55" t="s">
        <v>207</v>
      </c>
      <c r="AG9" s="55" t="s">
        <v>145</v>
      </c>
      <c r="AH9" s="55" t="s">
        <v>263</v>
      </c>
      <c r="AN9" s="55">
        <v>1</v>
      </c>
      <c r="AO9" s="55">
        <v>8192</v>
      </c>
      <c r="AP9" s="55" t="s">
        <v>147</v>
      </c>
      <c r="AQ9" s="55" t="s">
        <v>192</v>
      </c>
      <c r="AR9" s="55" t="s">
        <v>193</v>
      </c>
      <c r="AT9" s="55" t="b">
        <v>1</v>
      </c>
      <c r="AU9" s="55" t="s">
        <v>150</v>
      </c>
      <c r="AW9" s="55" t="s">
        <v>151</v>
      </c>
      <c r="AX9" s="55">
        <v>-1</v>
      </c>
      <c r="AY9" s="55">
        <v>-1</v>
      </c>
      <c r="BA9" s="55">
        <v>8886605</v>
      </c>
      <c r="BB9" s="55">
        <v>8886605</v>
      </c>
      <c r="BC9" s="55">
        <v>8869888</v>
      </c>
      <c r="BD9" s="55" t="s">
        <v>152</v>
      </c>
      <c r="BE9" s="55" t="s">
        <v>153</v>
      </c>
      <c r="BF9" s="55" t="s">
        <v>154</v>
      </c>
      <c r="BI9" s="55" t="b">
        <v>0</v>
      </c>
      <c r="BJ9" s="55">
        <v>0</v>
      </c>
      <c r="BK9" s="55">
        <v>10000</v>
      </c>
      <c r="BL9" s="55" t="b">
        <v>0</v>
      </c>
      <c r="BM9" s="55" t="b">
        <v>0</v>
      </c>
      <c r="BO9" s="55" t="b">
        <v>1</v>
      </c>
      <c r="BP9" s="55" t="s">
        <v>236</v>
      </c>
      <c r="BQ9" s="55">
        <v>19</v>
      </c>
      <c r="BR9" s="55" t="s">
        <v>153</v>
      </c>
      <c r="BS9" s="55" t="s">
        <v>156</v>
      </c>
      <c r="BU9" s="55" t="s">
        <v>264</v>
      </c>
      <c r="BV9" s="55" t="s">
        <v>265</v>
      </c>
      <c r="BW9" s="55" t="s">
        <v>265</v>
      </c>
      <c r="BX9" s="55" t="s">
        <v>265</v>
      </c>
      <c r="BY9" s="55" t="s">
        <v>239</v>
      </c>
      <c r="BZ9" s="55" t="s">
        <v>266</v>
      </c>
      <c r="CA9" s="55" t="s">
        <v>267</v>
      </c>
      <c r="CB9" s="55" t="s">
        <v>268</v>
      </c>
      <c r="CI9" s="55" t="s">
        <v>161</v>
      </c>
      <c r="CJ9" s="55" t="s">
        <v>162</v>
      </c>
      <c r="CK9" s="55" t="s">
        <v>269</v>
      </c>
      <c r="CL9" s="55" t="s">
        <v>213</v>
      </c>
      <c r="CM9" s="55" t="s">
        <v>213</v>
      </c>
      <c r="CN9" s="55" t="s">
        <v>166</v>
      </c>
      <c r="CP9" s="55" t="s">
        <v>268</v>
      </c>
      <c r="CQ9" s="55" t="s">
        <v>270</v>
      </c>
      <c r="CR9" s="55" t="s">
        <v>271</v>
      </c>
      <c r="CS9" s="55" t="s">
        <v>170</v>
      </c>
      <c r="CT9" s="55" t="s">
        <v>171</v>
      </c>
      <c r="CU9" s="55" t="s">
        <v>172</v>
      </c>
      <c r="CV9" s="55" t="s">
        <v>173</v>
      </c>
    </row>
    <row r="10" spans="1:113">
      <c r="A10" s="55" t="s">
        <v>272</v>
      </c>
      <c r="B10" s="55" t="s">
        <v>273</v>
      </c>
      <c r="C10" s="55" t="s">
        <v>135</v>
      </c>
      <c r="D10" s="55" t="b">
        <v>0</v>
      </c>
      <c r="E10" s="55" t="b">
        <v>0</v>
      </c>
      <c r="F10" s="55" t="s">
        <v>136</v>
      </c>
      <c r="G10" s="55" t="s">
        <v>274</v>
      </c>
      <c r="H10" s="55" t="s">
        <v>138</v>
      </c>
      <c r="I10" s="55" t="s">
        <v>139</v>
      </c>
      <c r="J10" s="55" t="s">
        <v>136</v>
      </c>
      <c r="K10" s="55" t="b">
        <v>0</v>
      </c>
      <c r="L10" s="56">
        <v>45745.462696759263</v>
      </c>
      <c r="O10" s="55">
        <v>0</v>
      </c>
      <c r="P10" s="56">
        <v>45383.387986111113</v>
      </c>
      <c r="Q10" s="56">
        <v>45898.846226851849</v>
      </c>
      <c r="R10" s="57">
        <v>4</v>
      </c>
      <c r="S10" s="55" t="s">
        <v>140</v>
      </c>
      <c r="T10" s="57">
        <v>12288</v>
      </c>
      <c r="U10" s="55">
        <v>614</v>
      </c>
      <c r="V10" s="55">
        <v>3</v>
      </c>
      <c r="W10" s="55">
        <v>2</v>
      </c>
      <c r="X10" s="58">
        <v>174080</v>
      </c>
      <c r="Z10" s="55" t="s">
        <v>141</v>
      </c>
      <c r="AA10" s="55" t="s">
        <v>142</v>
      </c>
      <c r="AC10" s="55" t="b">
        <v>1</v>
      </c>
      <c r="AD10" s="55" t="b">
        <v>1</v>
      </c>
      <c r="AE10" s="55" t="s">
        <v>275</v>
      </c>
      <c r="AF10" s="55" t="s">
        <v>144</v>
      </c>
      <c r="AG10" s="55" t="s">
        <v>145</v>
      </c>
      <c r="AH10" s="55" t="s">
        <v>207</v>
      </c>
      <c r="AN10" s="55">
        <v>1</v>
      </c>
      <c r="AO10" s="55">
        <v>8192</v>
      </c>
      <c r="AP10" s="55" t="s">
        <v>147</v>
      </c>
      <c r="AQ10" s="55" t="s">
        <v>192</v>
      </c>
      <c r="AR10" s="55" t="s">
        <v>193</v>
      </c>
      <c r="AT10" s="55" t="b">
        <v>1</v>
      </c>
      <c r="AU10" s="55" t="s">
        <v>150</v>
      </c>
      <c r="AW10" s="55" t="s">
        <v>151</v>
      </c>
      <c r="AX10" s="55">
        <v>-1</v>
      </c>
      <c r="AY10" s="55">
        <v>-1</v>
      </c>
      <c r="BA10" s="55">
        <v>186550</v>
      </c>
      <c r="BB10" s="55">
        <v>186550</v>
      </c>
      <c r="BC10" s="55">
        <v>174080</v>
      </c>
      <c r="BD10" s="55" t="s">
        <v>152</v>
      </c>
      <c r="BE10" s="55" t="s">
        <v>153</v>
      </c>
      <c r="BF10" s="55" t="s">
        <v>154</v>
      </c>
      <c r="BI10" s="55" t="b">
        <v>0</v>
      </c>
      <c r="BJ10" s="55">
        <v>0</v>
      </c>
      <c r="BK10" s="55">
        <v>10000</v>
      </c>
      <c r="BL10" s="55" t="b">
        <v>0</v>
      </c>
      <c r="BM10" s="55" t="b">
        <v>0</v>
      </c>
      <c r="BO10" s="55" t="b">
        <v>1</v>
      </c>
      <c r="BP10" s="55" t="s">
        <v>236</v>
      </c>
      <c r="BQ10" s="55">
        <v>19</v>
      </c>
      <c r="BR10" s="55" t="s">
        <v>153</v>
      </c>
      <c r="BS10" s="55" t="s">
        <v>156</v>
      </c>
      <c r="BU10" s="55" t="s">
        <v>276</v>
      </c>
      <c r="BV10" s="55" t="s">
        <v>277</v>
      </c>
      <c r="BW10" s="55" t="s">
        <v>277</v>
      </c>
      <c r="BX10" s="55" t="s">
        <v>277</v>
      </c>
      <c r="BY10" s="55" t="s">
        <v>239</v>
      </c>
      <c r="BZ10" s="55" t="s">
        <v>278</v>
      </c>
      <c r="CA10" s="55" t="s">
        <v>279</v>
      </c>
      <c r="CI10" s="55" t="s">
        <v>161</v>
      </c>
      <c r="CJ10" s="55" t="s">
        <v>162</v>
      </c>
      <c r="CK10" s="55" t="s">
        <v>163</v>
      </c>
      <c r="CL10" s="55" t="s">
        <v>213</v>
      </c>
      <c r="CM10" s="55" t="s">
        <v>213</v>
      </c>
      <c r="CN10" s="55" t="s">
        <v>166</v>
      </c>
      <c r="CP10" s="55" t="s">
        <v>280</v>
      </c>
      <c r="CQ10" s="55" t="s">
        <v>281</v>
      </c>
      <c r="CR10" s="55" t="s">
        <v>282</v>
      </c>
      <c r="CS10" s="55" t="s">
        <v>170</v>
      </c>
      <c r="CT10" s="55" t="s">
        <v>171</v>
      </c>
      <c r="CU10" s="55" t="s">
        <v>172</v>
      </c>
      <c r="CV10" s="55" t="s">
        <v>173</v>
      </c>
    </row>
    <row r="11" spans="1:113">
      <c r="A11" s="55" t="s">
        <v>283</v>
      </c>
      <c r="B11" s="55" t="s">
        <v>284</v>
      </c>
      <c r="C11" s="55" t="s">
        <v>135</v>
      </c>
      <c r="D11" s="55" t="b">
        <v>0</v>
      </c>
      <c r="E11" s="55" t="b">
        <v>0</v>
      </c>
      <c r="F11" s="55" t="s">
        <v>136</v>
      </c>
      <c r="G11" s="55" t="s">
        <v>285</v>
      </c>
      <c r="H11" s="55" t="s">
        <v>138</v>
      </c>
      <c r="I11" s="55" t="s">
        <v>139</v>
      </c>
      <c r="J11" s="55" t="s">
        <v>136</v>
      </c>
      <c r="K11" s="55" t="b">
        <v>0</v>
      </c>
      <c r="L11" s="56">
        <v>45890.363217592603</v>
      </c>
      <c r="O11" s="55">
        <v>0</v>
      </c>
      <c r="P11" s="56">
        <v>45390.377291666657</v>
      </c>
      <c r="Q11" s="56">
        <v>45901.497418981482</v>
      </c>
      <c r="R11" s="57">
        <v>6</v>
      </c>
      <c r="S11" s="55" t="s">
        <v>140</v>
      </c>
      <c r="T11" s="57">
        <v>49152</v>
      </c>
      <c r="U11" s="55">
        <v>491</v>
      </c>
      <c r="V11" s="55">
        <v>3</v>
      </c>
      <c r="W11" s="55">
        <v>4</v>
      </c>
      <c r="X11" s="58">
        <v>440320</v>
      </c>
      <c r="Z11" s="55" t="s">
        <v>177</v>
      </c>
      <c r="AA11" s="55" t="s">
        <v>142</v>
      </c>
      <c r="AC11" s="55" t="b">
        <v>1</v>
      </c>
      <c r="AD11" s="55" t="b">
        <v>1</v>
      </c>
      <c r="AE11" s="55" t="s">
        <v>286</v>
      </c>
      <c r="AF11" s="55" t="s">
        <v>144</v>
      </c>
      <c r="AG11" s="55" t="s">
        <v>287</v>
      </c>
      <c r="AH11" s="55" t="s">
        <v>207</v>
      </c>
      <c r="AN11" s="55">
        <v>1</v>
      </c>
      <c r="AO11" s="55">
        <v>8192</v>
      </c>
      <c r="AP11" s="55" t="s">
        <v>147</v>
      </c>
      <c r="AQ11" s="55" t="s">
        <v>192</v>
      </c>
      <c r="AR11" s="55" t="s">
        <v>193</v>
      </c>
      <c r="AT11" s="55" t="b">
        <v>1</v>
      </c>
      <c r="AU11" s="55" t="s">
        <v>150</v>
      </c>
      <c r="AW11" s="55" t="s">
        <v>151</v>
      </c>
      <c r="AX11" s="55">
        <v>-1</v>
      </c>
      <c r="AY11" s="55">
        <v>-1</v>
      </c>
      <c r="BA11" s="55">
        <v>489597</v>
      </c>
      <c r="BB11" s="55">
        <v>489597</v>
      </c>
      <c r="BC11" s="55">
        <v>440320</v>
      </c>
      <c r="BD11" s="55" t="s">
        <v>152</v>
      </c>
      <c r="BE11" s="55" t="s">
        <v>153</v>
      </c>
      <c r="BF11" s="55" t="s">
        <v>154</v>
      </c>
      <c r="BI11" s="55" t="b">
        <v>0</v>
      </c>
      <c r="BJ11" s="55">
        <v>0</v>
      </c>
      <c r="BK11" s="55">
        <v>10000</v>
      </c>
      <c r="BL11" s="55" t="b">
        <v>0</v>
      </c>
      <c r="BM11" s="55" t="b">
        <v>0</v>
      </c>
      <c r="BO11" s="55" t="b">
        <v>1</v>
      </c>
      <c r="BP11" s="55" t="s">
        <v>236</v>
      </c>
      <c r="BQ11" s="55">
        <v>19</v>
      </c>
      <c r="BR11" s="55" t="s">
        <v>153</v>
      </c>
      <c r="BS11" s="55" t="s">
        <v>156</v>
      </c>
      <c r="BU11" s="55" t="s">
        <v>288</v>
      </c>
      <c r="BV11" s="55" t="s">
        <v>289</v>
      </c>
      <c r="BW11" s="55" t="s">
        <v>289</v>
      </c>
      <c r="BX11" s="55" t="s">
        <v>289</v>
      </c>
      <c r="BY11" s="55" t="s">
        <v>239</v>
      </c>
      <c r="BZ11" s="55" t="s">
        <v>290</v>
      </c>
      <c r="CA11" s="55" t="s">
        <v>291</v>
      </c>
      <c r="CI11" s="55" t="s">
        <v>161</v>
      </c>
      <c r="CJ11" s="55" t="s">
        <v>162</v>
      </c>
      <c r="CK11" s="55" t="s">
        <v>292</v>
      </c>
      <c r="CL11" s="55" t="s">
        <v>213</v>
      </c>
      <c r="CM11" s="55" t="s">
        <v>213</v>
      </c>
      <c r="CN11" s="55" t="s">
        <v>166</v>
      </c>
      <c r="CP11" s="55" t="s">
        <v>293</v>
      </c>
      <c r="CQ11" s="55" t="s">
        <v>294</v>
      </c>
      <c r="CR11" s="55" t="s">
        <v>295</v>
      </c>
      <c r="CS11" s="55" t="s">
        <v>170</v>
      </c>
      <c r="CT11" s="55" t="s">
        <v>171</v>
      </c>
      <c r="CU11" s="55" t="s">
        <v>172</v>
      </c>
      <c r="CV11" s="55" t="s">
        <v>173</v>
      </c>
    </row>
    <row r="12" spans="1:113">
      <c r="A12" s="55" t="s">
        <v>296</v>
      </c>
      <c r="B12" s="55" t="s">
        <v>297</v>
      </c>
      <c r="C12" s="55" t="s">
        <v>135</v>
      </c>
      <c r="D12" s="55" t="b">
        <v>0</v>
      </c>
      <c r="E12" s="55" t="b">
        <v>0</v>
      </c>
      <c r="F12" s="55" t="s">
        <v>136</v>
      </c>
      <c r="G12" s="55" t="s">
        <v>298</v>
      </c>
      <c r="H12" s="55" t="s">
        <v>138</v>
      </c>
      <c r="I12" s="55" t="s">
        <v>139</v>
      </c>
      <c r="J12" s="55" t="s">
        <v>151</v>
      </c>
      <c r="K12" s="55" t="b">
        <v>0</v>
      </c>
      <c r="L12" s="56">
        <v>45890.419004629628</v>
      </c>
      <c r="O12" s="55">
        <v>0</v>
      </c>
      <c r="P12" s="56">
        <v>45390.380370370367</v>
      </c>
      <c r="Q12" s="56">
        <v>45902.064745370371</v>
      </c>
      <c r="R12" s="57">
        <v>4</v>
      </c>
      <c r="S12" s="55" t="s">
        <v>140</v>
      </c>
      <c r="T12" s="57">
        <v>4096</v>
      </c>
      <c r="U12" s="55">
        <v>491</v>
      </c>
      <c r="V12" s="55">
        <v>3</v>
      </c>
      <c r="W12" s="55">
        <v>3</v>
      </c>
      <c r="X12" s="58">
        <v>235520</v>
      </c>
      <c r="Z12" s="55" t="s">
        <v>141</v>
      </c>
      <c r="AA12" s="55" t="s">
        <v>142</v>
      </c>
      <c r="AC12" s="55" t="b">
        <v>1</v>
      </c>
      <c r="AD12" s="55" t="b">
        <v>1</v>
      </c>
      <c r="AE12" s="55" t="s">
        <v>299</v>
      </c>
      <c r="AF12" s="55" t="s">
        <v>144</v>
      </c>
      <c r="AG12" s="55" t="s">
        <v>287</v>
      </c>
      <c r="AH12" s="55" t="s">
        <v>207</v>
      </c>
      <c r="AN12" s="55">
        <v>1</v>
      </c>
      <c r="AO12" s="55">
        <v>8192</v>
      </c>
      <c r="AP12" s="55" t="s">
        <v>147</v>
      </c>
      <c r="AQ12" s="55" t="s">
        <v>192</v>
      </c>
      <c r="AR12" s="55" t="s">
        <v>193</v>
      </c>
      <c r="AT12" s="55" t="b">
        <v>1</v>
      </c>
      <c r="AU12" s="55" t="s">
        <v>150</v>
      </c>
      <c r="AW12" s="55" t="s">
        <v>151</v>
      </c>
      <c r="AX12" s="55">
        <v>-1</v>
      </c>
      <c r="AY12" s="55">
        <v>-1</v>
      </c>
      <c r="BA12" s="55">
        <v>239700</v>
      </c>
      <c r="BB12" s="55">
        <v>239700</v>
      </c>
      <c r="BC12" s="55">
        <v>235520</v>
      </c>
      <c r="BD12" s="55" t="s">
        <v>152</v>
      </c>
      <c r="BE12" s="55" t="s">
        <v>153</v>
      </c>
      <c r="BF12" s="55" t="s">
        <v>154</v>
      </c>
      <c r="BI12" s="55" t="b">
        <v>0</v>
      </c>
      <c r="BJ12" s="55">
        <v>0</v>
      </c>
      <c r="BK12" s="55">
        <v>10000</v>
      </c>
      <c r="BL12" s="55" t="b">
        <v>0</v>
      </c>
      <c r="BM12" s="55" t="b">
        <v>0</v>
      </c>
      <c r="BO12" s="55" t="b">
        <v>1</v>
      </c>
      <c r="BP12" s="55" t="s">
        <v>236</v>
      </c>
      <c r="BQ12" s="55">
        <v>19</v>
      </c>
      <c r="BR12" s="55" t="s">
        <v>153</v>
      </c>
      <c r="BS12" s="55" t="s">
        <v>156</v>
      </c>
      <c r="BU12" s="55" t="s">
        <v>300</v>
      </c>
      <c r="BV12" s="55" t="s">
        <v>301</v>
      </c>
      <c r="BW12" s="55" t="s">
        <v>301</v>
      </c>
      <c r="BX12" s="55" t="s">
        <v>301</v>
      </c>
      <c r="BY12" s="55" t="s">
        <v>239</v>
      </c>
      <c r="BZ12" s="55" t="s">
        <v>302</v>
      </c>
      <c r="CA12" s="55" t="s">
        <v>303</v>
      </c>
      <c r="CI12" s="55" t="s">
        <v>161</v>
      </c>
      <c r="CJ12" s="55" t="s">
        <v>162</v>
      </c>
      <c r="CK12" s="55" t="s">
        <v>304</v>
      </c>
      <c r="CL12" s="55" t="s">
        <v>213</v>
      </c>
      <c r="CM12" s="55" t="s">
        <v>213</v>
      </c>
      <c r="CN12" s="55" t="s">
        <v>166</v>
      </c>
      <c r="CP12" s="55" t="s">
        <v>305</v>
      </c>
      <c r="CQ12" s="55" t="s">
        <v>306</v>
      </c>
      <c r="CR12" s="55" t="s">
        <v>307</v>
      </c>
      <c r="CS12" s="55" t="s">
        <v>170</v>
      </c>
      <c r="CT12" s="55" t="s">
        <v>171</v>
      </c>
      <c r="CU12" s="55" t="s">
        <v>172</v>
      </c>
      <c r="CV12" s="55" t="s">
        <v>173</v>
      </c>
    </row>
    <row r="13" spans="1:113">
      <c r="A13" s="55" t="s">
        <v>308</v>
      </c>
      <c r="B13" s="55" t="s">
        <v>309</v>
      </c>
      <c r="C13" s="55" t="s">
        <v>135</v>
      </c>
      <c r="D13" s="55" t="b">
        <v>0</v>
      </c>
      <c r="E13" s="55" t="b">
        <v>0</v>
      </c>
      <c r="F13" s="55" t="s">
        <v>136</v>
      </c>
      <c r="G13" s="55" t="s">
        <v>310</v>
      </c>
      <c r="H13" s="55" t="s">
        <v>138</v>
      </c>
      <c r="I13" s="55" t="s">
        <v>139</v>
      </c>
      <c r="J13" s="55" t="s">
        <v>136</v>
      </c>
      <c r="K13" s="55" t="b">
        <v>0</v>
      </c>
      <c r="L13" s="56">
        <v>45588.557326388887</v>
      </c>
      <c r="O13" s="55">
        <v>0</v>
      </c>
      <c r="P13" s="56">
        <v>45406.597928240742</v>
      </c>
      <c r="Q13" s="56">
        <v>45866.402662037042</v>
      </c>
      <c r="R13" s="57">
        <v>8</v>
      </c>
      <c r="S13" s="55" t="s">
        <v>140</v>
      </c>
      <c r="T13" s="57">
        <v>20480</v>
      </c>
      <c r="U13" s="55">
        <v>3276</v>
      </c>
      <c r="V13" s="55">
        <v>3</v>
      </c>
      <c r="W13" s="55">
        <v>1</v>
      </c>
      <c r="X13" s="58">
        <v>204800</v>
      </c>
      <c r="Z13" s="55" t="s">
        <v>311</v>
      </c>
      <c r="AA13" s="55" t="s">
        <v>142</v>
      </c>
      <c r="AD13" s="55" t="b">
        <v>1</v>
      </c>
      <c r="AE13" s="55" t="s">
        <v>312</v>
      </c>
      <c r="AF13" s="55" t="s">
        <v>313</v>
      </c>
      <c r="AG13" s="55" t="s">
        <v>314</v>
      </c>
      <c r="AH13" s="55" t="s">
        <v>315</v>
      </c>
      <c r="AN13" s="55">
        <v>1</v>
      </c>
      <c r="AO13" s="55">
        <v>4096</v>
      </c>
      <c r="AP13" s="55" t="s">
        <v>316</v>
      </c>
      <c r="AQ13" s="55" t="s">
        <v>317</v>
      </c>
      <c r="AR13" s="55" t="s">
        <v>318</v>
      </c>
      <c r="AT13" s="55" t="b">
        <v>1</v>
      </c>
      <c r="AU13" s="55" t="s">
        <v>150</v>
      </c>
      <c r="AW13" s="55" t="s">
        <v>151</v>
      </c>
      <c r="AX13" s="55">
        <v>-1</v>
      </c>
      <c r="AY13" s="55">
        <v>-1</v>
      </c>
      <c r="BA13" s="55">
        <v>225607</v>
      </c>
      <c r="BB13" s="55">
        <v>225607</v>
      </c>
      <c r="BC13" s="55">
        <v>204800</v>
      </c>
      <c r="BD13" s="55" t="s">
        <v>152</v>
      </c>
      <c r="BE13" s="55" t="s">
        <v>153</v>
      </c>
      <c r="BF13" s="55" t="s">
        <v>154</v>
      </c>
      <c r="BI13" s="55" t="b">
        <v>0</v>
      </c>
      <c r="BJ13" s="55">
        <v>10000</v>
      </c>
      <c r="BK13" s="55">
        <v>10000</v>
      </c>
      <c r="BL13" s="55" t="b">
        <v>0</v>
      </c>
      <c r="BM13" s="55" t="b">
        <v>0</v>
      </c>
      <c r="BO13" s="55" t="b">
        <v>0</v>
      </c>
      <c r="BP13" s="55" t="s">
        <v>155</v>
      </c>
      <c r="BQ13" s="55">
        <v>19</v>
      </c>
      <c r="BR13" s="55" t="s">
        <v>153</v>
      </c>
      <c r="BS13" s="55" t="s">
        <v>156</v>
      </c>
      <c r="BU13" s="55" t="s">
        <v>319</v>
      </c>
      <c r="BV13" s="55" t="s">
        <v>320</v>
      </c>
      <c r="BW13" s="55" t="s">
        <v>320</v>
      </c>
      <c r="BX13" s="55" t="s">
        <v>320</v>
      </c>
      <c r="BZ13" s="55" t="s">
        <v>321</v>
      </c>
      <c r="CA13" s="55" t="s">
        <v>322</v>
      </c>
      <c r="CI13" s="55" t="s">
        <v>161</v>
      </c>
      <c r="CJ13" s="55" t="s">
        <v>323</v>
      </c>
      <c r="CK13" s="55" t="s">
        <v>324</v>
      </c>
      <c r="CL13" s="55" t="s">
        <v>325</v>
      </c>
      <c r="CM13" s="55" t="s">
        <v>326</v>
      </c>
      <c r="CN13" s="55" t="s">
        <v>166</v>
      </c>
      <c r="CP13" s="55" t="s">
        <v>327</v>
      </c>
      <c r="CQ13" s="55" t="s">
        <v>328</v>
      </c>
      <c r="CR13" s="55" t="s">
        <v>329</v>
      </c>
      <c r="CS13" s="55" t="s">
        <v>170</v>
      </c>
      <c r="CT13" s="55" t="s">
        <v>171</v>
      </c>
      <c r="CU13" s="55" t="s">
        <v>172</v>
      </c>
      <c r="CV13" s="55" t="s">
        <v>173</v>
      </c>
    </row>
    <row r="14" spans="1:113">
      <c r="A14" s="55" t="s">
        <v>330</v>
      </c>
      <c r="B14" s="55" t="s">
        <v>331</v>
      </c>
      <c r="C14" s="55" t="s">
        <v>135</v>
      </c>
      <c r="D14" s="55" t="b">
        <v>0</v>
      </c>
      <c r="E14" s="55" t="b">
        <v>0</v>
      </c>
      <c r="F14" s="55" t="s">
        <v>136</v>
      </c>
      <c r="G14" s="55" t="s">
        <v>332</v>
      </c>
      <c r="H14" s="55" t="s">
        <v>138</v>
      </c>
      <c r="I14" s="55" t="s">
        <v>139</v>
      </c>
      <c r="J14" s="55" t="s">
        <v>136</v>
      </c>
      <c r="K14" s="55" t="b">
        <v>0</v>
      </c>
      <c r="L14" s="56">
        <v>45588.5628125</v>
      </c>
      <c r="O14" s="55">
        <v>0</v>
      </c>
      <c r="P14" s="56">
        <v>45406.598773148151</v>
      </c>
      <c r="Q14" s="56">
        <v>45877.75204861111</v>
      </c>
      <c r="R14" s="57">
        <v>8</v>
      </c>
      <c r="S14" s="55" t="s">
        <v>140</v>
      </c>
      <c r="T14" s="57">
        <v>20480</v>
      </c>
      <c r="U14" s="55">
        <v>2662</v>
      </c>
      <c r="V14" s="55">
        <v>3</v>
      </c>
      <c r="W14" s="55">
        <v>1</v>
      </c>
      <c r="X14" s="58">
        <v>204800</v>
      </c>
      <c r="Z14" s="55" t="s">
        <v>311</v>
      </c>
      <c r="AA14" s="55" t="s">
        <v>142</v>
      </c>
      <c r="AD14" s="55" t="b">
        <v>1</v>
      </c>
      <c r="AE14" s="55" t="s">
        <v>333</v>
      </c>
      <c r="AF14" s="55" t="s">
        <v>313</v>
      </c>
      <c r="AG14" s="55" t="s">
        <v>314</v>
      </c>
      <c r="AH14" s="55" t="s">
        <v>315</v>
      </c>
      <c r="AN14" s="55">
        <v>1</v>
      </c>
      <c r="AO14" s="55">
        <v>4096</v>
      </c>
      <c r="AP14" s="55" t="s">
        <v>316</v>
      </c>
      <c r="AQ14" s="55" t="s">
        <v>317</v>
      </c>
      <c r="AR14" s="55" t="s">
        <v>318</v>
      </c>
      <c r="AT14" s="55" t="b">
        <v>1</v>
      </c>
      <c r="AU14" s="55" t="s">
        <v>150</v>
      </c>
      <c r="AW14" s="55" t="s">
        <v>151</v>
      </c>
      <c r="AX14" s="55">
        <v>-1</v>
      </c>
      <c r="AY14" s="55">
        <v>-1</v>
      </c>
      <c r="BA14" s="55">
        <v>225600</v>
      </c>
      <c r="BB14" s="55">
        <v>225600</v>
      </c>
      <c r="BC14" s="55">
        <v>204800</v>
      </c>
      <c r="BD14" s="55" t="s">
        <v>152</v>
      </c>
      <c r="BE14" s="55" t="s">
        <v>153</v>
      </c>
      <c r="BF14" s="55" t="s">
        <v>154</v>
      </c>
      <c r="BI14" s="55" t="b">
        <v>0</v>
      </c>
      <c r="BJ14" s="55">
        <v>10000</v>
      </c>
      <c r="BK14" s="55">
        <v>10000</v>
      </c>
      <c r="BL14" s="55" t="b">
        <v>0</v>
      </c>
      <c r="BM14" s="55" t="b">
        <v>0</v>
      </c>
      <c r="BO14" s="55" t="b">
        <v>0</v>
      </c>
      <c r="BP14" s="55" t="s">
        <v>155</v>
      </c>
      <c r="BQ14" s="55">
        <v>19</v>
      </c>
      <c r="BR14" s="55" t="s">
        <v>153</v>
      </c>
      <c r="BS14" s="55" t="s">
        <v>156</v>
      </c>
      <c r="BU14" s="55" t="s">
        <v>334</v>
      </c>
      <c r="BV14" s="55" t="s">
        <v>335</v>
      </c>
      <c r="BW14" s="55" t="s">
        <v>335</v>
      </c>
      <c r="BX14" s="55" t="s">
        <v>335</v>
      </c>
      <c r="BZ14" s="55" t="s">
        <v>336</v>
      </c>
      <c r="CA14" s="55" t="s">
        <v>337</v>
      </c>
      <c r="CI14" s="55" t="s">
        <v>161</v>
      </c>
      <c r="CJ14" s="55" t="s">
        <v>323</v>
      </c>
      <c r="CK14" s="55" t="s">
        <v>338</v>
      </c>
      <c r="CL14" s="55" t="s">
        <v>325</v>
      </c>
      <c r="CM14" s="55" t="s">
        <v>326</v>
      </c>
      <c r="CN14" s="55" t="s">
        <v>166</v>
      </c>
      <c r="CP14" s="55" t="s">
        <v>339</v>
      </c>
      <c r="CQ14" s="55" t="s">
        <v>340</v>
      </c>
      <c r="CR14" s="55" t="s">
        <v>341</v>
      </c>
      <c r="CS14" s="55" t="s">
        <v>170</v>
      </c>
      <c r="CT14" s="55" t="s">
        <v>171</v>
      </c>
      <c r="CU14" s="55" t="s">
        <v>172</v>
      </c>
      <c r="CV14" s="55" t="s">
        <v>173</v>
      </c>
    </row>
    <row r="15" spans="1:113">
      <c r="A15" s="55" t="s">
        <v>342</v>
      </c>
      <c r="B15" s="55" t="s">
        <v>343</v>
      </c>
      <c r="C15" s="55" t="s">
        <v>135</v>
      </c>
      <c r="D15" s="55" t="b">
        <v>0</v>
      </c>
      <c r="E15" s="55" t="b">
        <v>0</v>
      </c>
      <c r="F15" s="55" t="s">
        <v>136</v>
      </c>
      <c r="G15" s="55" t="s">
        <v>344</v>
      </c>
      <c r="H15" s="55" t="s">
        <v>138</v>
      </c>
      <c r="I15" s="55" t="s">
        <v>139</v>
      </c>
      <c r="J15" s="55" t="s">
        <v>136</v>
      </c>
      <c r="K15" s="55" t="b">
        <v>0</v>
      </c>
      <c r="L15" s="56">
        <v>45540.750636574077</v>
      </c>
      <c r="O15" s="55">
        <v>0</v>
      </c>
      <c r="P15" s="56">
        <v>45394.598437499997</v>
      </c>
      <c r="Q15" s="56">
        <v>45879.951655092591</v>
      </c>
      <c r="R15" s="57">
        <v>8</v>
      </c>
      <c r="S15" s="55" t="s">
        <v>140</v>
      </c>
      <c r="T15" s="57">
        <v>16384</v>
      </c>
      <c r="U15" s="55">
        <v>327</v>
      </c>
      <c r="V15" s="55">
        <v>3</v>
      </c>
      <c r="W15" s="55">
        <v>1</v>
      </c>
      <c r="X15" s="58">
        <v>179200</v>
      </c>
      <c r="Z15" s="55" t="s">
        <v>311</v>
      </c>
      <c r="AA15" s="55" t="s">
        <v>142</v>
      </c>
      <c r="AD15" s="55" t="b">
        <v>1</v>
      </c>
      <c r="AE15" s="55" t="s">
        <v>345</v>
      </c>
      <c r="AF15" s="55" t="s">
        <v>313</v>
      </c>
      <c r="AG15" s="55" t="s">
        <v>314</v>
      </c>
      <c r="AH15" s="55" t="s">
        <v>315</v>
      </c>
      <c r="AN15" s="55">
        <v>1</v>
      </c>
      <c r="AO15" s="55">
        <v>4096</v>
      </c>
      <c r="AP15" s="55" t="s">
        <v>316</v>
      </c>
      <c r="AQ15" s="55" t="s">
        <v>317</v>
      </c>
      <c r="AR15" s="55" t="s">
        <v>318</v>
      </c>
      <c r="AT15" s="55" t="b">
        <v>1</v>
      </c>
      <c r="AU15" s="55" t="s">
        <v>150</v>
      </c>
      <c r="AW15" s="55" t="s">
        <v>151</v>
      </c>
      <c r="AX15" s="55">
        <v>-1</v>
      </c>
      <c r="AY15" s="55">
        <v>-1</v>
      </c>
      <c r="BA15" s="55">
        <v>195826</v>
      </c>
      <c r="BB15" s="55">
        <v>195826</v>
      </c>
      <c r="BC15" s="55">
        <v>179200</v>
      </c>
      <c r="BD15" s="55" t="s">
        <v>152</v>
      </c>
      <c r="BE15" s="55" t="s">
        <v>153</v>
      </c>
      <c r="BF15" s="55" t="s">
        <v>154</v>
      </c>
      <c r="BI15" s="55" t="b">
        <v>0</v>
      </c>
      <c r="BJ15" s="55">
        <v>0</v>
      </c>
      <c r="BK15" s="55">
        <v>10000</v>
      </c>
      <c r="BL15" s="55" t="b">
        <v>0</v>
      </c>
      <c r="BM15" s="55" t="b">
        <v>0</v>
      </c>
      <c r="BO15" s="55" t="b">
        <v>0</v>
      </c>
      <c r="BP15" s="55" t="s">
        <v>155</v>
      </c>
      <c r="BQ15" s="55">
        <v>19</v>
      </c>
      <c r="BR15" s="55" t="s">
        <v>153</v>
      </c>
      <c r="BS15" s="55" t="s">
        <v>156</v>
      </c>
      <c r="BU15" s="55" t="s">
        <v>346</v>
      </c>
      <c r="BV15" s="55" t="s">
        <v>347</v>
      </c>
      <c r="BW15" s="55" t="s">
        <v>347</v>
      </c>
      <c r="BX15" s="55" t="s">
        <v>347</v>
      </c>
      <c r="BZ15" s="55" t="s">
        <v>348</v>
      </c>
      <c r="CA15" s="55" t="s">
        <v>349</v>
      </c>
      <c r="CI15" s="55" t="s">
        <v>161</v>
      </c>
      <c r="CJ15" s="55" t="s">
        <v>323</v>
      </c>
      <c r="CK15" s="55" t="s">
        <v>338</v>
      </c>
      <c r="CL15" s="55" t="s">
        <v>325</v>
      </c>
      <c r="CM15" s="55" t="s">
        <v>326</v>
      </c>
      <c r="CN15" s="55" t="s">
        <v>166</v>
      </c>
      <c r="CP15" s="55" t="s">
        <v>350</v>
      </c>
      <c r="CQ15" s="55" t="s">
        <v>351</v>
      </c>
      <c r="CR15" s="55" t="s">
        <v>352</v>
      </c>
      <c r="CS15" s="55" t="s">
        <v>170</v>
      </c>
      <c r="CT15" s="55" t="s">
        <v>171</v>
      </c>
      <c r="CU15" s="55" t="s">
        <v>172</v>
      </c>
      <c r="CV15" s="55" t="s">
        <v>173</v>
      </c>
    </row>
    <row r="16" spans="1:113">
      <c r="A16" s="55" t="s">
        <v>353</v>
      </c>
      <c r="B16" s="55" t="s">
        <v>354</v>
      </c>
      <c r="C16" s="55" t="s">
        <v>135</v>
      </c>
      <c r="D16" s="55" t="b">
        <v>0</v>
      </c>
      <c r="E16" s="55" t="b">
        <v>0</v>
      </c>
      <c r="F16" s="55" t="s">
        <v>136</v>
      </c>
      <c r="G16" s="55" t="s">
        <v>355</v>
      </c>
      <c r="H16" s="55" t="s">
        <v>138</v>
      </c>
      <c r="I16" s="55" t="s">
        <v>139</v>
      </c>
      <c r="J16" s="55" t="s">
        <v>136</v>
      </c>
      <c r="K16" s="55" t="b">
        <v>0</v>
      </c>
      <c r="L16" s="56">
        <v>45541.695196759261</v>
      </c>
      <c r="O16" s="55">
        <v>0</v>
      </c>
      <c r="P16" s="56">
        <v>45394.599560185183</v>
      </c>
      <c r="Q16" s="56">
        <v>45742.111307870371</v>
      </c>
      <c r="R16" s="57">
        <v>8</v>
      </c>
      <c r="S16" s="55" t="s">
        <v>140</v>
      </c>
      <c r="T16" s="57">
        <v>20480</v>
      </c>
      <c r="U16" s="55">
        <v>1433</v>
      </c>
      <c r="V16" s="55">
        <v>3</v>
      </c>
      <c r="W16" s="55">
        <v>1</v>
      </c>
      <c r="X16" s="58">
        <v>204800</v>
      </c>
      <c r="Z16" s="55" t="s">
        <v>311</v>
      </c>
      <c r="AA16" s="55" t="s">
        <v>142</v>
      </c>
      <c r="AD16" s="55" t="b">
        <v>1</v>
      </c>
      <c r="AE16" s="55" t="s">
        <v>356</v>
      </c>
      <c r="AF16" s="55" t="s">
        <v>313</v>
      </c>
      <c r="AG16" s="55" t="s">
        <v>314</v>
      </c>
      <c r="AH16" s="55" t="s">
        <v>315</v>
      </c>
      <c r="AN16" s="55">
        <v>1</v>
      </c>
      <c r="AO16" s="55">
        <v>4096</v>
      </c>
      <c r="AP16" s="55" t="s">
        <v>316</v>
      </c>
      <c r="AQ16" s="55" t="s">
        <v>317</v>
      </c>
      <c r="AR16" s="55" t="s">
        <v>318</v>
      </c>
      <c r="AT16" s="55" t="b">
        <v>1</v>
      </c>
      <c r="AU16" s="55" t="s">
        <v>150</v>
      </c>
      <c r="AW16" s="55" t="s">
        <v>151</v>
      </c>
      <c r="AX16" s="55">
        <v>-1</v>
      </c>
      <c r="AY16" s="55">
        <v>-1</v>
      </c>
      <c r="BA16" s="55">
        <v>225933</v>
      </c>
      <c r="BB16" s="55">
        <v>225933</v>
      </c>
      <c r="BC16" s="55">
        <v>204800</v>
      </c>
      <c r="BD16" s="55" t="s">
        <v>152</v>
      </c>
      <c r="BE16" s="55" t="s">
        <v>153</v>
      </c>
      <c r="BF16" s="55" t="s">
        <v>154</v>
      </c>
      <c r="BI16" s="55" t="b">
        <v>0</v>
      </c>
      <c r="BJ16" s="55">
        <v>0</v>
      </c>
      <c r="BK16" s="55">
        <v>10000</v>
      </c>
      <c r="BL16" s="55" t="b">
        <v>0</v>
      </c>
      <c r="BM16" s="55" t="b">
        <v>0</v>
      </c>
      <c r="BO16" s="55" t="b">
        <v>0</v>
      </c>
      <c r="BP16" s="55" t="s">
        <v>155</v>
      </c>
      <c r="BQ16" s="55">
        <v>19</v>
      </c>
      <c r="BR16" s="55" t="s">
        <v>153</v>
      </c>
      <c r="BS16" s="55" t="s">
        <v>156</v>
      </c>
      <c r="BU16" s="55" t="s">
        <v>357</v>
      </c>
      <c r="BV16" s="55" t="s">
        <v>358</v>
      </c>
      <c r="BW16" s="55" t="s">
        <v>358</v>
      </c>
      <c r="BX16" s="55" t="s">
        <v>358</v>
      </c>
      <c r="BZ16" s="55" t="s">
        <v>359</v>
      </c>
      <c r="CA16" s="55" t="s">
        <v>360</v>
      </c>
      <c r="CI16" s="55" t="s">
        <v>161</v>
      </c>
      <c r="CJ16" s="55" t="s">
        <v>323</v>
      </c>
      <c r="CK16" s="55" t="s">
        <v>324</v>
      </c>
      <c r="CL16" s="55" t="s">
        <v>325</v>
      </c>
      <c r="CM16" s="55" t="s">
        <v>326</v>
      </c>
      <c r="CN16" s="55" t="s">
        <v>166</v>
      </c>
      <c r="CP16" s="55" t="s">
        <v>361</v>
      </c>
      <c r="CQ16" s="55" t="s">
        <v>362</v>
      </c>
      <c r="CR16" s="55" t="s">
        <v>363</v>
      </c>
      <c r="CS16" s="55" t="s">
        <v>170</v>
      </c>
      <c r="CT16" s="55" t="s">
        <v>171</v>
      </c>
      <c r="CU16" s="55" t="s">
        <v>172</v>
      </c>
      <c r="CV16" s="55" t="s">
        <v>173</v>
      </c>
    </row>
    <row r="17" spans="1:113">
      <c r="A17" s="55" t="s">
        <v>364</v>
      </c>
      <c r="B17" s="55" t="s">
        <v>365</v>
      </c>
      <c r="C17" s="55" t="s">
        <v>135</v>
      </c>
      <c r="D17" s="55" t="b">
        <v>0</v>
      </c>
      <c r="E17" s="55" t="b">
        <v>0</v>
      </c>
      <c r="F17" s="55" t="s">
        <v>136</v>
      </c>
      <c r="G17" s="55" t="s">
        <v>366</v>
      </c>
      <c r="H17" s="55" t="s">
        <v>138</v>
      </c>
      <c r="I17" s="55" t="s">
        <v>139</v>
      </c>
      <c r="J17" s="55" t="s">
        <v>136</v>
      </c>
      <c r="K17" s="55" t="b">
        <v>0</v>
      </c>
      <c r="L17" s="56">
        <v>45540.750092592592</v>
      </c>
      <c r="O17" s="55">
        <v>0</v>
      </c>
      <c r="P17" s="56">
        <v>45394.601678240739</v>
      </c>
      <c r="Q17" s="56">
        <v>45874.741782407407</v>
      </c>
      <c r="R17" s="57">
        <v>8</v>
      </c>
      <c r="S17" s="55" t="s">
        <v>140</v>
      </c>
      <c r="T17" s="57">
        <v>16384</v>
      </c>
      <c r="U17" s="55">
        <v>327</v>
      </c>
      <c r="V17" s="55">
        <v>3</v>
      </c>
      <c r="W17" s="55">
        <v>1</v>
      </c>
      <c r="X17" s="58">
        <v>179200</v>
      </c>
      <c r="Z17" s="55" t="s">
        <v>311</v>
      </c>
      <c r="AA17" s="55" t="s">
        <v>142</v>
      </c>
      <c r="AD17" s="55" t="b">
        <v>1</v>
      </c>
      <c r="AE17" s="55" t="s">
        <v>367</v>
      </c>
      <c r="AF17" s="55" t="s">
        <v>313</v>
      </c>
      <c r="AG17" s="55" t="s">
        <v>314</v>
      </c>
      <c r="AH17" s="55" t="s">
        <v>315</v>
      </c>
      <c r="AN17" s="55">
        <v>1</v>
      </c>
      <c r="AO17" s="55">
        <v>4096</v>
      </c>
      <c r="AP17" s="55" t="s">
        <v>316</v>
      </c>
      <c r="AQ17" s="55" t="s">
        <v>317</v>
      </c>
      <c r="AR17" s="55" t="s">
        <v>318</v>
      </c>
      <c r="AT17" s="55" t="b">
        <v>1</v>
      </c>
      <c r="AU17" s="55" t="s">
        <v>150</v>
      </c>
      <c r="AW17" s="55" t="s">
        <v>151</v>
      </c>
      <c r="AX17" s="55">
        <v>-1</v>
      </c>
      <c r="AY17" s="55">
        <v>-1</v>
      </c>
      <c r="BA17" s="55">
        <v>195900</v>
      </c>
      <c r="BB17" s="55">
        <v>195900</v>
      </c>
      <c r="BC17" s="55">
        <v>179200</v>
      </c>
      <c r="BD17" s="55" t="s">
        <v>152</v>
      </c>
      <c r="BE17" s="55" t="s">
        <v>153</v>
      </c>
      <c r="BF17" s="55" t="s">
        <v>154</v>
      </c>
      <c r="BI17" s="55" t="b">
        <v>0</v>
      </c>
      <c r="BJ17" s="55">
        <v>0</v>
      </c>
      <c r="BK17" s="55">
        <v>10000</v>
      </c>
      <c r="BL17" s="55" t="b">
        <v>0</v>
      </c>
      <c r="BM17" s="55" t="b">
        <v>0</v>
      </c>
      <c r="BO17" s="55" t="b">
        <v>0</v>
      </c>
      <c r="BP17" s="55" t="s">
        <v>155</v>
      </c>
      <c r="BQ17" s="55">
        <v>19</v>
      </c>
      <c r="BR17" s="55" t="s">
        <v>153</v>
      </c>
      <c r="BS17" s="55" t="s">
        <v>156</v>
      </c>
      <c r="BU17" s="55" t="s">
        <v>368</v>
      </c>
      <c r="BV17" s="55" t="s">
        <v>369</v>
      </c>
      <c r="BW17" s="55" t="s">
        <v>369</v>
      </c>
      <c r="BX17" s="55" t="s">
        <v>369</v>
      </c>
      <c r="BZ17" s="55" t="s">
        <v>370</v>
      </c>
      <c r="CA17" s="55" t="s">
        <v>371</v>
      </c>
      <c r="CI17" s="55" t="s">
        <v>161</v>
      </c>
      <c r="CJ17" s="55" t="s">
        <v>323</v>
      </c>
      <c r="CK17" s="55" t="s">
        <v>338</v>
      </c>
      <c r="CL17" s="55" t="s">
        <v>325</v>
      </c>
      <c r="CM17" s="55" t="s">
        <v>326</v>
      </c>
      <c r="CN17" s="55" t="s">
        <v>166</v>
      </c>
      <c r="CP17" s="55" t="s">
        <v>372</v>
      </c>
      <c r="CQ17" s="55" t="s">
        <v>373</v>
      </c>
      <c r="CR17" s="55" t="s">
        <v>374</v>
      </c>
      <c r="CS17" s="55" t="s">
        <v>170</v>
      </c>
      <c r="CT17" s="55" t="s">
        <v>171</v>
      </c>
      <c r="CU17" s="55" t="s">
        <v>172</v>
      </c>
      <c r="CV17" s="55" t="s">
        <v>173</v>
      </c>
    </row>
    <row r="18" spans="1:113">
      <c r="A18" s="55" t="s">
        <v>375</v>
      </c>
      <c r="B18" s="55" t="s">
        <v>376</v>
      </c>
      <c r="C18" s="55" t="s">
        <v>135</v>
      </c>
      <c r="D18" s="55" t="b">
        <v>0</v>
      </c>
      <c r="E18" s="55" t="b">
        <v>0</v>
      </c>
      <c r="F18" s="55" t="s">
        <v>136</v>
      </c>
      <c r="G18" s="55" t="s">
        <v>377</v>
      </c>
      <c r="H18" s="55" t="s">
        <v>138</v>
      </c>
      <c r="I18" s="55" t="s">
        <v>139</v>
      </c>
      <c r="J18" s="55" t="s">
        <v>136</v>
      </c>
      <c r="K18" s="55" t="b">
        <v>0</v>
      </c>
      <c r="L18" s="56">
        <v>45540.932106481479</v>
      </c>
      <c r="O18" s="55">
        <v>0</v>
      </c>
      <c r="P18" s="56">
        <v>45400.720208333332</v>
      </c>
      <c r="Q18" s="56">
        <v>45771.905706018522</v>
      </c>
      <c r="R18" s="57">
        <v>8</v>
      </c>
      <c r="S18" s="55" t="s">
        <v>140</v>
      </c>
      <c r="T18" s="57">
        <v>16384</v>
      </c>
      <c r="U18" s="55">
        <v>491</v>
      </c>
      <c r="V18" s="55">
        <v>3</v>
      </c>
      <c r="W18" s="55">
        <v>1</v>
      </c>
      <c r="X18" s="58">
        <v>179200</v>
      </c>
      <c r="Z18" s="55" t="s">
        <v>311</v>
      </c>
      <c r="AA18" s="55" t="s">
        <v>142</v>
      </c>
      <c r="AD18" s="55" t="b">
        <v>1</v>
      </c>
      <c r="AE18" s="55" t="s">
        <v>378</v>
      </c>
      <c r="AF18" s="55" t="s">
        <v>313</v>
      </c>
      <c r="AG18" s="55" t="s">
        <v>314</v>
      </c>
      <c r="AH18" s="55" t="s">
        <v>315</v>
      </c>
      <c r="AN18" s="55">
        <v>1</v>
      </c>
      <c r="AO18" s="55">
        <v>4096</v>
      </c>
      <c r="AP18" s="55" t="s">
        <v>316</v>
      </c>
      <c r="AQ18" s="55" t="s">
        <v>192</v>
      </c>
      <c r="AR18" s="55" t="s">
        <v>193</v>
      </c>
      <c r="AT18" s="55" t="b">
        <v>1</v>
      </c>
      <c r="AU18" s="55" t="s">
        <v>150</v>
      </c>
      <c r="AW18" s="55" t="s">
        <v>151</v>
      </c>
      <c r="AX18" s="55">
        <v>-1</v>
      </c>
      <c r="AY18" s="55">
        <v>-1</v>
      </c>
      <c r="BA18" s="55">
        <v>196229</v>
      </c>
      <c r="BB18" s="55">
        <v>196229</v>
      </c>
      <c r="BC18" s="55">
        <v>179200</v>
      </c>
      <c r="BD18" s="55" t="s">
        <v>152</v>
      </c>
      <c r="BE18" s="55" t="s">
        <v>153</v>
      </c>
      <c r="BF18" s="55" t="s">
        <v>154</v>
      </c>
      <c r="BI18" s="55" t="b">
        <v>0</v>
      </c>
      <c r="BJ18" s="55">
        <v>0</v>
      </c>
      <c r="BK18" s="55">
        <v>10000</v>
      </c>
      <c r="BL18" s="55" t="b">
        <v>0</v>
      </c>
      <c r="BM18" s="55" t="b">
        <v>0</v>
      </c>
      <c r="BO18" s="55" t="b">
        <v>0</v>
      </c>
      <c r="BP18" s="55" t="s">
        <v>155</v>
      </c>
      <c r="BQ18" s="55">
        <v>19</v>
      </c>
      <c r="BR18" s="55" t="s">
        <v>153</v>
      </c>
      <c r="BS18" s="55" t="s">
        <v>156</v>
      </c>
      <c r="BU18" s="55" t="s">
        <v>379</v>
      </c>
      <c r="BV18" s="55" t="s">
        <v>380</v>
      </c>
      <c r="BW18" s="55" t="s">
        <v>380</v>
      </c>
      <c r="BX18" s="55" t="s">
        <v>380</v>
      </c>
      <c r="BZ18" s="55" t="s">
        <v>381</v>
      </c>
      <c r="CA18" s="55" t="s">
        <v>382</v>
      </c>
      <c r="CI18" s="55" t="s">
        <v>161</v>
      </c>
      <c r="CJ18" s="55" t="s">
        <v>323</v>
      </c>
      <c r="CK18" s="55" t="s">
        <v>383</v>
      </c>
      <c r="CL18" s="55" t="s">
        <v>325</v>
      </c>
      <c r="CM18" s="55" t="s">
        <v>326</v>
      </c>
      <c r="CN18" s="55" t="s">
        <v>166</v>
      </c>
      <c r="CP18" s="55" t="s">
        <v>384</v>
      </c>
      <c r="CQ18" s="55" t="s">
        <v>385</v>
      </c>
      <c r="CR18" s="55" t="s">
        <v>386</v>
      </c>
      <c r="CS18" s="55" t="s">
        <v>170</v>
      </c>
      <c r="CT18" s="55" t="s">
        <v>171</v>
      </c>
      <c r="CU18" s="55" t="s">
        <v>172</v>
      </c>
      <c r="CV18" s="55" t="s">
        <v>173</v>
      </c>
    </row>
    <row r="19" spans="1:113">
      <c r="A19" s="55" t="s">
        <v>387</v>
      </c>
      <c r="B19" s="55" t="s">
        <v>388</v>
      </c>
      <c r="C19" s="55" t="s">
        <v>135</v>
      </c>
      <c r="D19" s="55" t="b">
        <v>0</v>
      </c>
      <c r="E19" s="55" t="b">
        <v>0</v>
      </c>
      <c r="F19" s="55" t="s">
        <v>136</v>
      </c>
      <c r="G19" s="55" t="s">
        <v>389</v>
      </c>
      <c r="H19" s="55" t="s">
        <v>138</v>
      </c>
      <c r="I19" s="55" t="s">
        <v>139</v>
      </c>
      <c r="J19" s="55" t="s">
        <v>136</v>
      </c>
      <c r="K19" s="55" t="b">
        <v>0</v>
      </c>
      <c r="L19" s="56">
        <v>45548.719826388893</v>
      </c>
      <c r="O19" s="55">
        <v>0</v>
      </c>
      <c r="P19" s="56">
        <v>45404.509930555563</v>
      </c>
      <c r="Q19" s="56">
        <v>45878.904305555552</v>
      </c>
      <c r="R19" s="57">
        <v>2</v>
      </c>
      <c r="S19" s="55" t="s">
        <v>140</v>
      </c>
      <c r="T19" s="57">
        <v>16384</v>
      </c>
      <c r="U19" s="55">
        <v>2293</v>
      </c>
      <c r="V19" s="55">
        <v>3</v>
      </c>
      <c r="W19" s="55">
        <v>1</v>
      </c>
      <c r="X19" s="58">
        <v>204800</v>
      </c>
      <c r="Z19" s="55" t="s">
        <v>311</v>
      </c>
      <c r="AA19" s="55" t="s">
        <v>142</v>
      </c>
      <c r="AD19" s="55" t="b">
        <v>1</v>
      </c>
      <c r="AE19" s="55" t="s">
        <v>390</v>
      </c>
      <c r="AF19" s="55" t="s">
        <v>313</v>
      </c>
      <c r="AG19" s="55" t="s">
        <v>314</v>
      </c>
      <c r="AH19" s="55" t="s">
        <v>315</v>
      </c>
      <c r="AN19" s="55">
        <v>1</v>
      </c>
      <c r="AO19" s="55">
        <v>8192</v>
      </c>
      <c r="AP19" s="55" t="s">
        <v>316</v>
      </c>
      <c r="AQ19" s="55" t="s">
        <v>192</v>
      </c>
      <c r="AR19" s="55" t="s">
        <v>193</v>
      </c>
      <c r="AT19" s="55" t="b">
        <v>1</v>
      </c>
      <c r="AU19" s="55" t="s">
        <v>150</v>
      </c>
      <c r="AW19" s="55" t="s">
        <v>151</v>
      </c>
      <c r="AX19" s="55">
        <v>-1</v>
      </c>
      <c r="AY19" s="55">
        <v>-1</v>
      </c>
      <c r="BA19" s="55">
        <v>221500</v>
      </c>
      <c r="BB19" s="55">
        <v>221500</v>
      </c>
      <c r="BC19" s="55">
        <v>204800</v>
      </c>
      <c r="BD19" s="55" t="s">
        <v>152</v>
      </c>
      <c r="BE19" s="55" t="s">
        <v>153</v>
      </c>
      <c r="BF19" s="55" t="s">
        <v>154</v>
      </c>
      <c r="BI19" s="55" t="b">
        <v>0</v>
      </c>
      <c r="BJ19" s="55">
        <v>10000</v>
      </c>
      <c r="BK19" s="55">
        <v>10000</v>
      </c>
      <c r="BL19" s="55" t="b">
        <v>0</v>
      </c>
      <c r="BM19" s="55" t="b">
        <v>0</v>
      </c>
      <c r="BO19" s="55" t="b">
        <v>0</v>
      </c>
      <c r="BP19" s="55" t="s">
        <v>155</v>
      </c>
      <c r="BQ19" s="55">
        <v>19</v>
      </c>
      <c r="BR19" s="55" t="s">
        <v>153</v>
      </c>
      <c r="BS19" s="55" t="s">
        <v>156</v>
      </c>
      <c r="BU19" s="55" t="s">
        <v>391</v>
      </c>
      <c r="BV19" s="55" t="s">
        <v>392</v>
      </c>
      <c r="BW19" s="55" t="s">
        <v>392</v>
      </c>
      <c r="BX19" s="55" t="s">
        <v>392</v>
      </c>
      <c r="BZ19" s="55" t="s">
        <v>393</v>
      </c>
      <c r="CA19" s="55" t="s">
        <v>394</v>
      </c>
      <c r="CI19" s="55" t="s">
        <v>161</v>
      </c>
      <c r="CJ19" s="55" t="s">
        <v>323</v>
      </c>
      <c r="CK19" s="55" t="s">
        <v>395</v>
      </c>
      <c r="CL19" s="55" t="s">
        <v>396</v>
      </c>
      <c r="CM19" s="55" t="s">
        <v>326</v>
      </c>
      <c r="CN19" s="55" t="s">
        <v>166</v>
      </c>
      <c r="CP19" s="55" t="s">
        <v>397</v>
      </c>
      <c r="CQ19" s="55" t="s">
        <v>398</v>
      </c>
      <c r="CR19" s="55" t="s">
        <v>399</v>
      </c>
      <c r="CS19" s="55" t="s">
        <v>170</v>
      </c>
      <c r="CT19" s="55" t="s">
        <v>171</v>
      </c>
      <c r="CU19" s="55" t="s">
        <v>172</v>
      </c>
      <c r="CV19" s="55" t="s">
        <v>173</v>
      </c>
    </row>
    <row r="20" spans="1:113">
      <c r="A20" s="55" t="s">
        <v>400</v>
      </c>
      <c r="B20" s="55" t="s">
        <v>401</v>
      </c>
      <c r="C20" s="55" t="s">
        <v>135</v>
      </c>
      <c r="D20" s="55" t="b">
        <v>0</v>
      </c>
      <c r="E20" s="55" t="b">
        <v>0</v>
      </c>
      <c r="F20" s="55" t="s">
        <v>136</v>
      </c>
      <c r="G20" s="55" t="s">
        <v>402</v>
      </c>
      <c r="H20" s="55" t="s">
        <v>138</v>
      </c>
      <c r="I20" s="55" t="s">
        <v>139</v>
      </c>
      <c r="J20" s="55" t="s">
        <v>136</v>
      </c>
      <c r="K20" s="55" t="b">
        <v>0</v>
      </c>
      <c r="L20" s="56">
        <v>45548.709791666668</v>
      </c>
      <c r="O20" s="55">
        <v>0</v>
      </c>
      <c r="P20" s="56">
        <v>45400.734212962961</v>
      </c>
      <c r="Q20" s="56">
        <v>45881.479618055557</v>
      </c>
      <c r="R20" s="57">
        <v>8</v>
      </c>
      <c r="S20" s="55" t="s">
        <v>140</v>
      </c>
      <c r="T20" s="57">
        <v>20480</v>
      </c>
      <c r="U20" s="55">
        <v>2867</v>
      </c>
      <c r="V20" s="55">
        <v>3</v>
      </c>
      <c r="W20" s="55">
        <v>1</v>
      </c>
      <c r="X20" s="58">
        <v>204800</v>
      </c>
      <c r="Z20" s="55" t="s">
        <v>311</v>
      </c>
      <c r="AA20" s="55" t="s">
        <v>142</v>
      </c>
      <c r="AD20" s="55" t="b">
        <v>1</v>
      </c>
      <c r="AE20" s="55" t="s">
        <v>403</v>
      </c>
      <c r="AF20" s="55" t="s">
        <v>313</v>
      </c>
      <c r="AG20" s="55" t="s">
        <v>314</v>
      </c>
      <c r="AH20" s="55" t="s">
        <v>315</v>
      </c>
      <c r="AN20" s="55">
        <v>1</v>
      </c>
      <c r="AO20" s="55">
        <v>4096</v>
      </c>
      <c r="AP20" s="55" t="s">
        <v>316</v>
      </c>
      <c r="AQ20" s="55" t="s">
        <v>192</v>
      </c>
      <c r="AR20" s="55" t="s">
        <v>193</v>
      </c>
      <c r="AT20" s="55" t="b">
        <v>1</v>
      </c>
      <c r="AU20" s="55" t="s">
        <v>150</v>
      </c>
      <c r="AW20" s="55" t="s">
        <v>151</v>
      </c>
      <c r="AX20" s="55">
        <v>-1</v>
      </c>
      <c r="AY20" s="55">
        <v>-1</v>
      </c>
      <c r="BA20" s="55">
        <v>225917</v>
      </c>
      <c r="BB20" s="55">
        <v>225917</v>
      </c>
      <c r="BC20" s="55">
        <v>204800</v>
      </c>
      <c r="BD20" s="55" t="s">
        <v>152</v>
      </c>
      <c r="BE20" s="55" t="s">
        <v>153</v>
      </c>
      <c r="BF20" s="55" t="s">
        <v>154</v>
      </c>
      <c r="BI20" s="55" t="b">
        <v>0</v>
      </c>
      <c r="BJ20" s="55">
        <v>0</v>
      </c>
      <c r="BK20" s="55">
        <v>10000</v>
      </c>
      <c r="BL20" s="55" t="b">
        <v>0</v>
      </c>
      <c r="BM20" s="55" t="b">
        <v>0</v>
      </c>
      <c r="BO20" s="55" t="b">
        <v>0</v>
      </c>
      <c r="BP20" s="55" t="s">
        <v>155</v>
      </c>
      <c r="BQ20" s="55">
        <v>19</v>
      </c>
      <c r="BR20" s="55" t="s">
        <v>153</v>
      </c>
      <c r="BS20" s="55" t="s">
        <v>156</v>
      </c>
      <c r="BU20" s="55" t="s">
        <v>404</v>
      </c>
      <c r="BV20" s="55" t="s">
        <v>405</v>
      </c>
      <c r="BW20" s="55" t="s">
        <v>405</v>
      </c>
      <c r="BX20" s="55" t="s">
        <v>405</v>
      </c>
      <c r="BZ20" s="55" t="s">
        <v>406</v>
      </c>
      <c r="CA20" s="55" t="s">
        <v>407</v>
      </c>
      <c r="CI20" s="55" t="s">
        <v>161</v>
      </c>
      <c r="CJ20" s="55" t="s">
        <v>323</v>
      </c>
      <c r="CK20" s="55" t="s">
        <v>408</v>
      </c>
      <c r="CL20" s="55" t="s">
        <v>325</v>
      </c>
      <c r="CM20" s="55" t="s">
        <v>326</v>
      </c>
      <c r="CN20" s="55" t="s">
        <v>166</v>
      </c>
      <c r="CP20" s="55" t="s">
        <v>409</v>
      </c>
      <c r="CQ20" s="55" t="s">
        <v>410</v>
      </c>
      <c r="CR20" s="55" t="s">
        <v>411</v>
      </c>
      <c r="CS20" s="55" t="s">
        <v>170</v>
      </c>
      <c r="CT20" s="55" t="s">
        <v>171</v>
      </c>
      <c r="CU20" s="55" t="s">
        <v>172</v>
      </c>
      <c r="CV20" s="55" t="s">
        <v>173</v>
      </c>
    </row>
    <row r="21" spans="1:113">
      <c r="A21" s="55" t="s">
        <v>412</v>
      </c>
      <c r="B21" s="55" t="s">
        <v>413</v>
      </c>
      <c r="C21" s="55" t="s">
        <v>135</v>
      </c>
      <c r="D21" s="55" t="b">
        <v>0</v>
      </c>
      <c r="E21" s="55" t="b">
        <v>0</v>
      </c>
      <c r="F21" s="55" t="s">
        <v>136</v>
      </c>
      <c r="G21" s="55" t="s">
        <v>414</v>
      </c>
      <c r="H21" s="55" t="s">
        <v>138</v>
      </c>
      <c r="I21" s="55" t="s">
        <v>139</v>
      </c>
      <c r="J21" s="55" t="s">
        <v>136</v>
      </c>
      <c r="K21" s="55" t="b">
        <v>0</v>
      </c>
      <c r="L21" s="56">
        <v>45888.793391203697</v>
      </c>
      <c r="O21" s="55">
        <v>0</v>
      </c>
      <c r="P21" s="56">
        <v>45756.692037037043</v>
      </c>
      <c r="Q21" s="56">
        <v>45886.444907407407</v>
      </c>
      <c r="R21" s="57">
        <v>2</v>
      </c>
      <c r="S21" s="55" t="s">
        <v>140</v>
      </c>
      <c r="T21" s="57">
        <v>4096</v>
      </c>
      <c r="U21" s="55">
        <v>286</v>
      </c>
      <c r="V21" s="55">
        <v>3</v>
      </c>
      <c r="W21" s="55">
        <v>1</v>
      </c>
      <c r="X21" s="58">
        <v>105472</v>
      </c>
      <c r="Z21" s="55" t="s">
        <v>311</v>
      </c>
      <c r="AA21" s="55" t="s">
        <v>142</v>
      </c>
      <c r="AD21" s="55" t="b">
        <v>1</v>
      </c>
      <c r="AE21" s="55" t="s">
        <v>415</v>
      </c>
      <c r="AF21" s="55" t="s">
        <v>314</v>
      </c>
      <c r="AG21" s="55" t="s">
        <v>313</v>
      </c>
      <c r="AH21" s="55" t="s">
        <v>315</v>
      </c>
      <c r="AN21" s="55">
        <v>1</v>
      </c>
      <c r="AO21" s="55">
        <v>8192</v>
      </c>
      <c r="AP21" s="55" t="s">
        <v>416</v>
      </c>
      <c r="AQ21" s="55" t="s">
        <v>192</v>
      </c>
      <c r="AR21" s="55" t="s">
        <v>193</v>
      </c>
      <c r="AT21" s="55" t="b">
        <v>1</v>
      </c>
      <c r="AU21" s="55" t="s">
        <v>150</v>
      </c>
      <c r="AW21" s="55" t="s">
        <v>151</v>
      </c>
      <c r="AX21" s="55">
        <v>-1</v>
      </c>
      <c r="AY21" s="55">
        <v>-1</v>
      </c>
      <c r="BA21" s="55">
        <v>109708</v>
      </c>
      <c r="BB21" s="55">
        <v>109708</v>
      </c>
      <c r="BC21" s="55">
        <v>105472</v>
      </c>
      <c r="BD21" s="55" t="s">
        <v>152</v>
      </c>
      <c r="BE21" s="55" t="s">
        <v>153</v>
      </c>
      <c r="BF21" s="55" t="s">
        <v>154</v>
      </c>
      <c r="BI21" s="55" t="b">
        <v>0</v>
      </c>
      <c r="BJ21" s="55">
        <v>0</v>
      </c>
      <c r="BK21" s="55">
        <v>10000</v>
      </c>
      <c r="BL21" s="55" t="b">
        <v>0</v>
      </c>
      <c r="BM21" s="55" t="b">
        <v>0</v>
      </c>
      <c r="BO21" s="55" t="b">
        <v>0</v>
      </c>
      <c r="BP21" s="55" t="s">
        <v>155</v>
      </c>
      <c r="BQ21" s="55">
        <v>19</v>
      </c>
      <c r="BR21" s="55" t="s">
        <v>153</v>
      </c>
      <c r="BS21" s="55" t="s">
        <v>156</v>
      </c>
      <c r="BU21" s="55" t="s">
        <v>417</v>
      </c>
      <c r="BV21" s="55" t="s">
        <v>418</v>
      </c>
      <c r="BW21" s="55" t="s">
        <v>418</v>
      </c>
      <c r="BX21" s="55" t="s">
        <v>418</v>
      </c>
      <c r="BY21" s="55" t="s">
        <v>419</v>
      </c>
      <c r="BZ21" s="55" t="s">
        <v>420</v>
      </c>
      <c r="CA21" s="55" t="s">
        <v>421</v>
      </c>
      <c r="CI21" s="55" t="s">
        <v>161</v>
      </c>
      <c r="CJ21" s="55" t="s">
        <v>323</v>
      </c>
      <c r="CK21" s="55" t="s">
        <v>338</v>
      </c>
      <c r="CL21" s="55" t="s">
        <v>199</v>
      </c>
      <c r="CM21" s="55" t="s">
        <v>227</v>
      </c>
      <c r="CN21" s="55" t="s">
        <v>166</v>
      </c>
      <c r="CP21" s="55" t="s">
        <v>422</v>
      </c>
      <c r="CQ21" s="55" t="s">
        <v>423</v>
      </c>
      <c r="CR21" s="55" t="s">
        <v>424</v>
      </c>
      <c r="CS21" s="55" t="s">
        <v>170</v>
      </c>
      <c r="CT21" s="55" t="s">
        <v>171</v>
      </c>
      <c r="CU21" s="55" t="s">
        <v>172</v>
      </c>
      <c r="CV21" s="55" t="s">
        <v>173</v>
      </c>
    </row>
    <row r="22" spans="1:113">
      <c r="A22" s="55" t="s">
        <v>425</v>
      </c>
      <c r="B22" s="55" t="s">
        <v>426</v>
      </c>
      <c r="C22" s="55" t="s">
        <v>135</v>
      </c>
      <c r="D22" s="55" t="b">
        <v>0</v>
      </c>
      <c r="E22" s="55" t="b">
        <v>0</v>
      </c>
      <c r="F22" s="55" t="s">
        <v>136</v>
      </c>
      <c r="G22" s="55" t="s">
        <v>427</v>
      </c>
      <c r="H22" s="55" t="s">
        <v>138</v>
      </c>
      <c r="I22" s="55" t="s">
        <v>139</v>
      </c>
      <c r="J22" s="55" t="s">
        <v>136</v>
      </c>
      <c r="K22" s="55" t="b">
        <v>0</v>
      </c>
      <c r="L22" s="56">
        <v>45897.657037037039</v>
      </c>
      <c r="O22" s="55">
        <v>0</v>
      </c>
      <c r="P22" s="56">
        <v>45727.509733796287</v>
      </c>
      <c r="Q22" s="56">
        <v>45881.534351851849</v>
      </c>
      <c r="R22" s="57">
        <v>4</v>
      </c>
      <c r="S22" s="55" t="s">
        <v>140</v>
      </c>
      <c r="T22" s="57">
        <v>6144</v>
      </c>
      <c r="U22" s="55">
        <v>1843</v>
      </c>
      <c r="V22" s="55">
        <v>2</v>
      </c>
      <c r="W22" s="55">
        <v>1</v>
      </c>
      <c r="X22" s="58">
        <v>51200</v>
      </c>
      <c r="Z22" s="55" t="s">
        <v>311</v>
      </c>
      <c r="AA22" s="55" t="s">
        <v>142</v>
      </c>
      <c r="AD22" s="55" t="b">
        <v>1</v>
      </c>
      <c r="AE22" s="55" t="s">
        <v>428</v>
      </c>
      <c r="AF22" s="55" t="s">
        <v>429</v>
      </c>
      <c r="AG22" s="55" t="s">
        <v>430</v>
      </c>
      <c r="AN22" s="55">
        <v>1</v>
      </c>
      <c r="AO22" s="55">
        <v>8192</v>
      </c>
      <c r="AP22" s="55" t="s">
        <v>416</v>
      </c>
      <c r="AQ22" s="55" t="s">
        <v>192</v>
      </c>
      <c r="AR22" s="55" t="s">
        <v>193</v>
      </c>
      <c r="AT22" s="55" t="b">
        <v>1</v>
      </c>
      <c r="AU22" s="55" t="s">
        <v>150</v>
      </c>
      <c r="AW22" s="55" t="s">
        <v>151</v>
      </c>
      <c r="AX22" s="55">
        <v>-1</v>
      </c>
      <c r="AY22" s="55">
        <v>-1</v>
      </c>
      <c r="BA22" s="55">
        <v>51317</v>
      </c>
      <c r="BB22" s="55">
        <v>51317</v>
      </c>
      <c r="BC22" s="55">
        <v>51200</v>
      </c>
      <c r="BD22" s="55" t="s">
        <v>152</v>
      </c>
      <c r="BE22" s="55" t="s">
        <v>153</v>
      </c>
      <c r="BF22" s="55" t="s">
        <v>154</v>
      </c>
      <c r="BI22" s="55" t="b">
        <v>0</v>
      </c>
      <c r="BJ22" s="55">
        <v>0</v>
      </c>
      <c r="BK22" s="55">
        <v>10000</v>
      </c>
      <c r="BL22" s="55" t="b">
        <v>0</v>
      </c>
      <c r="BM22" s="55" t="b">
        <v>0</v>
      </c>
      <c r="BO22" s="55" t="b">
        <v>0</v>
      </c>
      <c r="BP22" s="55" t="s">
        <v>155</v>
      </c>
      <c r="BQ22" s="55">
        <v>18</v>
      </c>
      <c r="BR22" s="55" t="s">
        <v>153</v>
      </c>
      <c r="BS22" s="55" t="s">
        <v>156</v>
      </c>
      <c r="BU22" s="55" t="s">
        <v>431</v>
      </c>
      <c r="BV22" s="55" t="s">
        <v>432</v>
      </c>
      <c r="BW22" s="55" t="s">
        <v>432</v>
      </c>
      <c r="BX22" s="55" t="s">
        <v>432</v>
      </c>
      <c r="BZ22" s="55" t="s">
        <v>433</v>
      </c>
      <c r="CA22" s="55" t="s">
        <v>434</v>
      </c>
      <c r="CI22" s="55" t="s">
        <v>161</v>
      </c>
      <c r="CJ22" s="55" t="s">
        <v>323</v>
      </c>
      <c r="CK22" s="55" t="s">
        <v>383</v>
      </c>
      <c r="CL22" s="55" t="s">
        <v>227</v>
      </c>
      <c r="CM22" s="55" t="s">
        <v>227</v>
      </c>
      <c r="CN22" s="55" t="s">
        <v>166</v>
      </c>
      <c r="CP22" s="55" t="s">
        <v>435</v>
      </c>
      <c r="CQ22" s="55" t="s">
        <v>436</v>
      </c>
      <c r="CR22" s="55" t="s">
        <v>437</v>
      </c>
      <c r="CS22" s="55" t="s">
        <v>170</v>
      </c>
      <c r="CT22" s="55" t="s">
        <v>171</v>
      </c>
      <c r="CU22" s="55" t="s">
        <v>172</v>
      </c>
      <c r="CV22" s="55" t="s">
        <v>173</v>
      </c>
    </row>
    <row r="23" spans="1:113">
      <c r="A23" s="55" t="s">
        <v>438</v>
      </c>
      <c r="B23" s="55" t="s">
        <v>439</v>
      </c>
      <c r="C23" s="55" t="s">
        <v>135</v>
      </c>
      <c r="D23" s="55" t="b">
        <v>0</v>
      </c>
      <c r="E23" s="55" t="b">
        <v>0</v>
      </c>
      <c r="F23" s="55" t="s">
        <v>136</v>
      </c>
      <c r="G23" s="55" t="s">
        <v>440</v>
      </c>
      <c r="H23" s="55" t="s">
        <v>138</v>
      </c>
      <c r="I23" s="55" t="s">
        <v>139</v>
      </c>
      <c r="J23" s="55" t="s">
        <v>136</v>
      </c>
      <c r="K23" s="55" t="b">
        <v>0</v>
      </c>
      <c r="L23" s="56">
        <v>45897.651921296303</v>
      </c>
      <c r="O23" s="55">
        <v>0</v>
      </c>
      <c r="P23" s="56">
        <v>45730.511099537027</v>
      </c>
      <c r="Q23" s="56">
        <v>45897.651909722219</v>
      </c>
      <c r="R23" s="57">
        <v>6</v>
      </c>
      <c r="S23" s="55" t="s">
        <v>140</v>
      </c>
      <c r="T23" s="57">
        <v>26624</v>
      </c>
      <c r="U23" s="55">
        <v>798</v>
      </c>
      <c r="V23" s="55">
        <v>2</v>
      </c>
      <c r="W23" s="55">
        <v>2</v>
      </c>
      <c r="X23" s="58">
        <v>143360</v>
      </c>
      <c r="Z23" s="55" t="s">
        <v>311</v>
      </c>
      <c r="AA23" s="55" t="s">
        <v>142</v>
      </c>
      <c r="AD23" s="55" t="b">
        <v>1</v>
      </c>
      <c r="AE23" s="55" t="s">
        <v>441</v>
      </c>
      <c r="AF23" s="55" t="s">
        <v>429</v>
      </c>
      <c r="AG23" s="55" t="s">
        <v>430</v>
      </c>
      <c r="AN23" s="55">
        <v>1</v>
      </c>
      <c r="AO23" s="55">
        <v>8192</v>
      </c>
      <c r="AP23" s="55" t="s">
        <v>416</v>
      </c>
      <c r="AQ23" s="55" t="s">
        <v>192</v>
      </c>
      <c r="AR23" s="55" t="s">
        <v>193</v>
      </c>
      <c r="AT23" s="55" t="b">
        <v>1</v>
      </c>
      <c r="AU23" s="55" t="s">
        <v>150</v>
      </c>
      <c r="AW23" s="55" t="s">
        <v>151</v>
      </c>
      <c r="AX23" s="55">
        <v>-1</v>
      </c>
      <c r="AY23" s="55">
        <v>-1</v>
      </c>
      <c r="BA23" s="55">
        <v>143489</v>
      </c>
      <c r="BB23" s="55">
        <v>143489</v>
      </c>
      <c r="BC23" s="55">
        <v>143360</v>
      </c>
      <c r="BD23" s="55" t="s">
        <v>152</v>
      </c>
      <c r="BE23" s="55" t="s">
        <v>153</v>
      </c>
      <c r="BF23" s="55" t="s">
        <v>154</v>
      </c>
      <c r="BI23" s="55" t="b">
        <v>0</v>
      </c>
      <c r="BJ23" s="55">
        <v>0</v>
      </c>
      <c r="BK23" s="55">
        <v>10000</v>
      </c>
      <c r="BL23" s="55" t="b">
        <v>0</v>
      </c>
      <c r="BM23" s="55" t="b">
        <v>0</v>
      </c>
      <c r="BO23" s="55" t="b">
        <v>0</v>
      </c>
      <c r="BP23" s="55" t="s">
        <v>155</v>
      </c>
      <c r="BQ23" s="55">
        <v>18</v>
      </c>
      <c r="BR23" s="55" t="s">
        <v>153</v>
      </c>
      <c r="BS23" s="55" t="s">
        <v>156</v>
      </c>
      <c r="BU23" s="55" t="s">
        <v>442</v>
      </c>
      <c r="BV23" s="55" t="s">
        <v>443</v>
      </c>
      <c r="BW23" s="55" t="s">
        <v>443</v>
      </c>
      <c r="BX23" s="55" t="s">
        <v>443</v>
      </c>
      <c r="BZ23" s="55" t="s">
        <v>444</v>
      </c>
      <c r="CA23" s="55" t="s">
        <v>445</v>
      </c>
      <c r="CI23" s="55" t="s">
        <v>161</v>
      </c>
      <c r="CJ23" s="55" t="s">
        <v>323</v>
      </c>
      <c r="CK23" s="55" t="s">
        <v>446</v>
      </c>
      <c r="CL23" s="55" t="s">
        <v>227</v>
      </c>
      <c r="CM23" s="55" t="s">
        <v>227</v>
      </c>
      <c r="CN23" s="55" t="s">
        <v>166</v>
      </c>
      <c r="CP23" s="55" t="s">
        <v>447</v>
      </c>
      <c r="CQ23" s="55" t="s">
        <v>448</v>
      </c>
      <c r="CR23" s="55" t="s">
        <v>449</v>
      </c>
      <c r="CS23" s="55" t="s">
        <v>170</v>
      </c>
      <c r="CT23" s="55" t="s">
        <v>171</v>
      </c>
      <c r="CU23" s="55" t="s">
        <v>172</v>
      </c>
      <c r="CV23" s="55" t="s">
        <v>173</v>
      </c>
    </row>
    <row r="24" spans="1:113" s="59" customFormat="1">
      <c r="A24" s="55" t="s">
        <v>450</v>
      </c>
      <c r="B24" s="55" t="s">
        <v>451</v>
      </c>
      <c r="C24" s="55" t="s">
        <v>135</v>
      </c>
      <c r="D24" s="55" t="b">
        <v>0</v>
      </c>
      <c r="E24" s="55" t="b">
        <v>0</v>
      </c>
      <c r="F24" s="55" t="s">
        <v>136</v>
      </c>
      <c r="G24" s="55" t="s">
        <v>452</v>
      </c>
      <c r="H24" s="55" t="s">
        <v>138</v>
      </c>
      <c r="I24" s="55" t="s">
        <v>139</v>
      </c>
      <c r="J24" s="55" t="s">
        <v>136</v>
      </c>
      <c r="K24" s="55" t="b">
        <v>0</v>
      </c>
      <c r="L24" s="56">
        <v>45897.643136574072</v>
      </c>
      <c r="M24" s="55"/>
      <c r="N24" s="55"/>
      <c r="O24" s="55">
        <v>0</v>
      </c>
      <c r="P24" s="56">
        <v>45735.436886574083</v>
      </c>
      <c r="Q24" s="56">
        <v>45897.643125000002</v>
      </c>
      <c r="R24" s="57">
        <v>6</v>
      </c>
      <c r="S24" s="55" t="s">
        <v>140</v>
      </c>
      <c r="T24" s="57">
        <v>26624</v>
      </c>
      <c r="U24" s="55">
        <v>266</v>
      </c>
      <c r="V24" s="55">
        <v>2</v>
      </c>
      <c r="W24" s="55">
        <v>2</v>
      </c>
      <c r="X24" s="58">
        <v>143360</v>
      </c>
      <c r="Y24" s="55"/>
      <c r="Z24" s="55" t="s">
        <v>311</v>
      </c>
      <c r="AA24" s="55" t="s">
        <v>142</v>
      </c>
      <c r="AB24" s="55"/>
      <c r="AC24" s="55"/>
      <c r="AD24" s="55" t="b">
        <v>1</v>
      </c>
      <c r="AE24" s="55" t="s">
        <v>453</v>
      </c>
      <c r="AF24" s="55" t="s">
        <v>429</v>
      </c>
      <c r="AG24" s="55" t="s">
        <v>430</v>
      </c>
      <c r="AH24" s="55"/>
      <c r="AI24" s="55"/>
      <c r="AJ24" s="55"/>
      <c r="AK24" s="55"/>
      <c r="AL24" s="55"/>
      <c r="AM24" s="55"/>
      <c r="AN24" s="55">
        <v>1</v>
      </c>
      <c r="AO24" s="55">
        <v>8192</v>
      </c>
      <c r="AP24" s="55" t="s">
        <v>416</v>
      </c>
      <c r="AQ24" s="55" t="s">
        <v>192</v>
      </c>
      <c r="AR24" s="55" t="s">
        <v>193</v>
      </c>
      <c r="AS24" s="55"/>
      <c r="AT24" s="55" t="b">
        <v>1</v>
      </c>
      <c r="AU24" s="55" t="s">
        <v>150</v>
      </c>
      <c r="AV24" s="55"/>
      <c r="AW24" s="55" t="s">
        <v>151</v>
      </c>
      <c r="AX24" s="55">
        <v>-1</v>
      </c>
      <c r="AY24" s="55">
        <v>-1</v>
      </c>
      <c r="AZ24" s="55"/>
      <c r="BA24" s="55">
        <v>143478</v>
      </c>
      <c r="BB24" s="55">
        <v>143478</v>
      </c>
      <c r="BC24" s="55">
        <v>143360</v>
      </c>
      <c r="BD24" s="55" t="s">
        <v>152</v>
      </c>
      <c r="BE24" s="55" t="s">
        <v>153</v>
      </c>
      <c r="BF24" s="55" t="s">
        <v>154</v>
      </c>
      <c r="BG24" s="55"/>
      <c r="BH24" s="55"/>
      <c r="BI24" s="55" t="b">
        <v>0</v>
      </c>
      <c r="BJ24" s="55">
        <v>0</v>
      </c>
      <c r="BK24" s="55">
        <v>10000</v>
      </c>
      <c r="BL24" s="55" t="b">
        <v>0</v>
      </c>
      <c r="BM24" s="55" t="b">
        <v>0</v>
      </c>
      <c r="BN24" s="55"/>
      <c r="BO24" s="55" t="b">
        <v>0</v>
      </c>
      <c r="BP24" s="55" t="s">
        <v>155</v>
      </c>
      <c r="BQ24" s="55">
        <v>18</v>
      </c>
      <c r="BR24" s="55" t="s">
        <v>153</v>
      </c>
      <c r="BS24" s="55" t="s">
        <v>156</v>
      </c>
      <c r="BT24" s="55"/>
      <c r="BU24" s="55" t="s">
        <v>454</v>
      </c>
      <c r="BV24" s="55" t="s">
        <v>455</v>
      </c>
      <c r="BW24" s="55" t="s">
        <v>455</v>
      </c>
      <c r="BX24" s="55" t="s">
        <v>455</v>
      </c>
      <c r="BY24" s="55"/>
      <c r="BZ24" s="55" t="s">
        <v>456</v>
      </c>
      <c r="CA24" s="55" t="s">
        <v>457</v>
      </c>
      <c r="CB24" s="55"/>
      <c r="CC24" s="55"/>
      <c r="CD24" s="55"/>
      <c r="CE24" s="55"/>
      <c r="CF24" s="55"/>
      <c r="CG24" s="55"/>
      <c r="CH24" s="55"/>
      <c r="CI24" s="55" t="s">
        <v>161</v>
      </c>
      <c r="CJ24" s="55" t="s">
        <v>323</v>
      </c>
      <c r="CK24" s="55" t="s">
        <v>446</v>
      </c>
      <c r="CL24" s="55" t="s">
        <v>227</v>
      </c>
      <c r="CM24" s="55" t="s">
        <v>227</v>
      </c>
      <c r="CN24" s="55" t="s">
        <v>166</v>
      </c>
      <c r="CO24" s="55"/>
      <c r="CP24" s="55" t="s">
        <v>458</v>
      </c>
      <c r="CQ24" s="55" t="s">
        <v>459</v>
      </c>
      <c r="CR24" s="55" t="s">
        <v>460</v>
      </c>
      <c r="CS24" s="55" t="s">
        <v>170</v>
      </c>
      <c r="CT24" s="55" t="s">
        <v>171</v>
      </c>
      <c r="CU24" s="55" t="s">
        <v>172</v>
      </c>
      <c r="CV24" s="55" t="s">
        <v>173</v>
      </c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</row>
    <row r="25" spans="1:113">
      <c r="A25" s="55" t="s">
        <v>461</v>
      </c>
      <c r="B25" s="55" t="s">
        <v>462</v>
      </c>
      <c r="C25" s="55" t="s">
        <v>135</v>
      </c>
      <c r="D25" s="55" t="b">
        <v>0</v>
      </c>
      <c r="E25" s="55" t="b">
        <v>0</v>
      </c>
      <c r="F25" s="55" t="s">
        <v>136</v>
      </c>
      <c r="G25" s="55" t="s">
        <v>463</v>
      </c>
      <c r="H25" s="55" t="s">
        <v>138</v>
      </c>
      <c r="I25" s="55" t="s">
        <v>139</v>
      </c>
      <c r="J25" s="55" t="s">
        <v>136</v>
      </c>
      <c r="K25" s="55" t="b">
        <v>0</v>
      </c>
      <c r="L25" s="56">
        <v>45897.733587962961</v>
      </c>
      <c r="O25" s="55">
        <v>0</v>
      </c>
      <c r="P25" s="56">
        <v>45735.4528125</v>
      </c>
      <c r="Q25" s="56">
        <v>45819.732743055552</v>
      </c>
      <c r="R25" s="57">
        <v>6</v>
      </c>
      <c r="S25" s="55" t="s">
        <v>140</v>
      </c>
      <c r="T25" s="57">
        <v>26624</v>
      </c>
      <c r="U25" s="55">
        <v>1331</v>
      </c>
      <c r="V25" s="55">
        <v>2</v>
      </c>
      <c r="W25" s="55">
        <v>2</v>
      </c>
      <c r="X25" s="58">
        <v>143360</v>
      </c>
      <c r="Z25" s="55" t="s">
        <v>311</v>
      </c>
      <c r="AA25" s="55" t="s">
        <v>142</v>
      </c>
      <c r="AD25" s="55" t="b">
        <v>1</v>
      </c>
      <c r="AE25" s="55" t="s">
        <v>464</v>
      </c>
      <c r="AF25" s="55" t="s">
        <v>429</v>
      </c>
      <c r="AG25" s="55" t="s">
        <v>430</v>
      </c>
      <c r="AN25" s="55">
        <v>1</v>
      </c>
      <c r="AO25" s="55">
        <v>8192</v>
      </c>
      <c r="AP25" s="55" t="s">
        <v>416</v>
      </c>
      <c r="AQ25" s="55" t="s">
        <v>192</v>
      </c>
      <c r="AR25" s="55" t="s">
        <v>193</v>
      </c>
      <c r="AT25" s="55" t="b">
        <v>1</v>
      </c>
      <c r="AU25" s="55" t="s">
        <v>150</v>
      </c>
      <c r="AW25" s="55" t="s">
        <v>151</v>
      </c>
      <c r="AX25" s="55">
        <v>-1</v>
      </c>
      <c r="AY25" s="55">
        <v>-1</v>
      </c>
      <c r="BA25" s="55">
        <v>143636</v>
      </c>
      <c r="BB25" s="55">
        <v>143636</v>
      </c>
      <c r="BC25" s="55">
        <v>143360</v>
      </c>
      <c r="BD25" s="55" t="s">
        <v>152</v>
      </c>
      <c r="BE25" s="55" t="s">
        <v>153</v>
      </c>
      <c r="BF25" s="55" t="s">
        <v>154</v>
      </c>
      <c r="BI25" s="55" t="b">
        <v>0</v>
      </c>
      <c r="BJ25" s="55">
        <v>0</v>
      </c>
      <c r="BK25" s="55">
        <v>10000</v>
      </c>
      <c r="BL25" s="55" t="b">
        <v>0</v>
      </c>
      <c r="BM25" s="55" t="b">
        <v>0</v>
      </c>
      <c r="BO25" s="55" t="b">
        <v>0</v>
      </c>
      <c r="BP25" s="55" t="s">
        <v>155</v>
      </c>
      <c r="BQ25" s="55">
        <v>18</v>
      </c>
      <c r="BR25" s="55" t="s">
        <v>153</v>
      </c>
      <c r="BS25" s="55" t="s">
        <v>156</v>
      </c>
      <c r="BU25" s="55" t="s">
        <v>465</v>
      </c>
      <c r="BV25" s="55" t="s">
        <v>466</v>
      </c>
      <c r="BW25" s="55" t="s">
        <v>466</v>
      </c>
      <c r="BX25" s="55" t="s">
        <v>466</v>
      </c>
      <c r="BZ25" s="55" t="s">
        <v>467</v>
      </c>
      <c r="CA25" s="55" t="s">
        <v>468</v>
      </c>
      <c r="CI25" s="55" t="s">
        <v>161</v>
      </c>
      <c r="CJ25" s="55" t="s">
        <v>323</v>
      </c>
      <c r="CK25" s="55" t="s">
        <v>395</v>
      </c>
      <c r="CL25" s="55" t="s">
        <v>227</v>
      </c>
      <c r="CM25" s="55" t="s">
        <v>227</v>
      </c>
      <c r="CN25" s="55" t="s">
        <v>166</v>
      </c>
      <c r="CP25" s="55" t="s">
        <v>469</v>
      </c>
      <c r="CQ25" s="55" t="s">
        <v>470</v>
      </c>
      <c r="CR25" s="55" t="s">
        <v>471</v>
      </c>
      <c r="CS25" s="55" t="s">
        <v>170</v>
      </c>
      <c r="CT25" s="55" t="s">
        <v>171</v>
      </c>
      <c r="CU25" s="55" t="s">
        <v>172</v>
      </c>
      <c r="CV25" s="55" t="s">
        <v>173</v>
      </c>
    </row>
    <row r="26" spans="1:113">
      <c r="A26" s="59" t="s">
        <v>472</v>
      </c>
      <c r="B26" s="59" t="s">
        <v>473</v>
      </c>
      <c r="C26" s="59" t="s">
        <v>135</v>
      </c>
      <c r="D26" s="59" t="b">
        <v>0</v>
      </c>
      <c r="E26" s="59" t="b">
        <v>0</v>
      </c>
      <c r="F26" s="59" t="s">
        <v>136</v>
      </c>
      <c r="G26" s="59"/>
      <c r="H26" s="59" t="s">
        <v>138</v>
      </c>
      <c r="I26" s="59" t="s">
        <v>474</v>
      </c>
      <c r="J26" s="59" t="s">
        <v>151</v>
      </c>
      <c r="K26" s="59" t="b">
        <v>0</v>
      </c>
      <c r="L26" s="60">
        <v>45791.734780092593</v>
      </c>
      <c r="M26" s="59"/>
      <c r="N26" s="59"/>
      <c r="O26" s="59">
        <v>0</v>
      </c>
      <c r="P26" s="60">
        <v>45404.599143518521</v>
      </c>
      <c r="Q26" s="60">
        <v>45743.190300925933</v>
      </c>
      <c r="R26" s="61">
        <v>8</v>
      </c>
      <c r="S26" s="59" t="s">
        <v>140</v>
      </c>
      <c r="T26" s="61">
        <v>16384</v>
      </c>
      <c r="U26" s="59">
        <v>1310</v>
      </c>
      <c r="V26" s="59">
        <v>1</v>
      </c>
      <c r="W26" s="59">
        <v>1</v>
      </c>
      <c r="X26" s="62">
        <v>154433</v>
      </c>
      <c r="Y26" s="59"/>
      <c r="Z26" s="59" t="s">
        <v>311</v>
      </c>
      <c r="AA26" s="59" t="s">
        <v>142</v>
      </c>
      <c r="AB26" s="59"/>
      <c r="AC26" s="59"/>
      <c r="AD26" s="59" t="b">
        <v>1</v>
      </c>
      <c r="AE26" s="59"/>
      <c r="AF26" s="59" t="s">
        <v>475</v>
      </c>
      <c r="AG26" s="59"/>
      <c r="AH26" s="59"/>
      <c r="AI26" s="59"/>
      <c r="AJ26" s="59"/>
      <c r="AK26" s="59"/>
      <c r="AL26" s="59"/>
      <c r="AM26" s="59"/>
      <c r="AN26" s="59">
        <v>1</v>
      </c>
      <c r="AO26" s="59">
        <v>4096</v>
      </c>
      <c r="AP26" s="59" t="s">
        <v>316</v>
      </c>
      <c r="AQ26" s="59" t="s">
        <v>192</v>
      </c>
      <c r="AR26" s="59" t="s">
        <v>193</v>
      </c>
      <c r="AS26" s="59"/>
      <c r="AT26" s="59" t="b">
        <v>1</v>
      </c>
      <c r="AU26" s="59" t="s">
        <v>150</v>
      </c>
      <c r="AV26" s="59"/>
      <c r="AW26" s="59" t="s">
        <v>151</v>
      </c>
      <c r="AX26" s="59">
        <v>-1</v>
      </c>
      <c r="AY26" s="59">
        <v>-1</v>
      </c>
      <c r="AZ26" s="59"/>
      <c r="BA26" s="59">
        <v>170916</v>
      </c>
      <c r="BB26" s="59">
        <v>170916</v>
      </c>
      <c r="BC26" s="59">
        <v>154433</v>
      </c>
      <c r="BD26" s="59" t="s">
        <v>152</v>
      </c>
      <c r="BE26" s="59" t="s">
        <v>153</v>
      </c>
      <c r="BF26" s="59" t="s">
        <v>154</v>
      </c>
      <c r="BG26" s="59"/>
      <c r="BH26" s="59"/>
      <c r="BI26" s="59" t="b">
        <v>0</v>
      </c>
      <c r="BJ26" s="59">
        <v>0</v>
      </c>
      <c r="BK26" s="59">
        <v>10000</v>
      </c>
      <c r="BL26" s="59" t="b">
        <v>0</v>
      </c>
      <c r="BM26" s="59" t="b">
        <v>0</v>
      </c>
      <c r="BN26" s="59"/>
      <c r="BO26" s="59" t="b">
        <v>0</v>
      </c>
      <c r="BP26" s="59" t="s">
        <v>155</v>
      </c>
      <c r="BQ26" s="59">
        <v>15</v>
      </c>
      <c r="BR26" s="59" t="s">
        <v>153</v>
      </c>
      <c r="BS26" s="59" t="s">
        <v>156</v>
      </c>
      <c r="BT26" s="59"/>
      <c r="BU26" s="59" t="s">
        <v>476</v>
      </c>
      <c r="BV26" s="59" t="s">
        <v>477</v>
      </c>
      <c r="BW26" s="59" t="s">
        <v>477</v>
      </c>
      <c r="BX26" s="59" t="s">
        <v>477</v>
      </c>
      <c r="BY26" s="59"/>
      <c r="BZ26" s="59" t="s">
        <v>478</v>
      </c>
      <c r="CA26" s="59" t="s">
        <v>421</v>
      </c>
      <c r="CB26" s="59"/>
      <c r="CC26" s="59"/>
      <c r="CD26" s="59"/>
      <c r="CE26" s="59"/>
      <c r="CF26" s="59"/>
      <c r="CG26" s="59"/>
      <c r="CH26" s="59"/>
      <c r="CI26" s="59" t="s">
        <v>161</v>
      </c>
      <c r="CJ26" s="59" t="s">
        <v>323</v>
      </c>
      <c r="CK26" s="59" t="s">
        <v>383</v>
      </c>
      <c r="CL26" s="59" t="s">
        <v>479</v>
      </c>
      <c r="CM26" s="59" t="s">
        <v>479</v>
      </c>
      <c r="CN26" s="59"/>
      <c r="CO26" s="59"/>
      <c r="CP26" s="59" t="s">
        <v>480</v>
      </c>
      <c r="CQ26" s="59" t="s">
        <v>481</v>
      </c>
      <c r="CR26" s="59" t="s">
        <v>482</v>
      </c>
      <c r="CS26" s="59" t="s">
        <v>170</v>
      </c>
      <c r="CT26" s="59" t="s">
        <v>171</v>
      </c>
      <c r="CU26" s="59" t="s">
        <v>172</v>
      </c>
      <c r="CV26" s="59" t="s">
        <v>173</v>
      </c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</row>
    <row r="27" spans="1:113">
      <c r="A27" s="55" t="s">
        <v>483</v>
      </c>
      <c r="B27" s="55" t="s">
        <v>484</v>
      </c>
      <c r="C27" s="55" t="s">
        <v>135</v>
      </c>
      <c r="D27" s="55" t="b">
        <v>0</v>
      </c>
      <c r="E27" s="55" t="b">
        <v>0</v>
      </c>
      <c r="F27" s="55" t="s">
        <v>136</v>
      </c>
      <c r="G27" s="55" t="s">
        <v>485</v>
      </c>
      <c r="H27" s="55" t="s">
        <v>138</v>
      </c>
      <c r="I27" s="55" t="s">
        <v>139</v>
      </c>
      <c r="J27" s="55" t="s">
        <v>136</v>
      </c>
      <c r="K27" s="55" t="b">
        <v>0</v>
      </c>
      <c r="L27" s="56">
        <v>45773.937071759261</v>
      </c>
      <c r="O27" s="55">
        <v>0</v>
      </c>
      <c r="P27" s="56">
        <v>45427.442986111113</v>
      </c>
      <c r="Q27" s="56">
        <v>45880.505243055559</v>
      </c>
      <c r="R27" s="57">
        <v>4</v>
      </c>
      <c r="S27" s="55" t="s">
        <v>140</v>
      </c>
      <c r="T27" s="57">
        <v>16384</v>
      </c>
      <c r="U27" s="55">
        <v>491</v>
      </c>
      <c r="V27" s="55">
        <v>3</v>
      </c>
      <c r="W27" s="55">
        <v>3</v>
      </c>
      <c r="X27" s="58">
        <v>1191936</v>
      </c>
      <c r="Z27" s="55" t="s">
        <v>311</v>
      </c>
      <c r="AA27" s="55" t="s">
        <v>142</v>
      </c>
      <c r="AC27" s="55" t="b">
        <v>1</v>
      </c>
      <c r="AD27" s="55" t="b">
        <v>1</v>
      </c>
      <c r="AE27" s="55" t="s">
        <v>486</v>
      </c>
      <c r="AF27" s="55" t="s">
        <v>314</v>
      </c>
      <c r="AG27" s="55" t="s">
        <v>487</v>
      </c>
      <c r="AH27" s="55" t="s">
        <v>315</v>
      </c>
      <c r="AN27" s="55">
        <v>1</v>
      </c>
      <c r="AO27" s="55">
        <v>8192</v>
      </c>
      <c r="AP27" s="55" t="s">
        <v>488</v>
      </c>
      <c r="AQ27" s="55" t="s">
        <v>317</v>
      </c>
      <c r="AR27" s="55" t="s">
        <v>318</v>
      </c>
      <c r="AT27" s="55" t="b">
        <v>1</v>
      </c>
      <c r="AU27" s="55" t="s">
        <v>150</v>
      </c>
      <c r="AW27" s="55" t="s">
        <v>151</v>
      </c>
      <c r="AX27" s="55">
        <v>-1</v>
      </c>
      <c r="AY27" s="55">
        <v>-1</v>
      </c>
      <c r="BA27" s="55">
        <v>1208834</v>
      </c>
      <c r="BB27" s="55">
        <v>1208834</v>
      </c>
      <c r="BC27" s="55">
        <v>1191936</v>
      </c>
      <c r="BD27" s="55" t="s">
        <v>152</v>
      </c>
      <c r="BE27" s="55" t="s">
        <v>153</v>
      </c>
      <c r="BF27" s="55" t="s">
        <v>154</v>
      </c>
      <c r="BI27" s="55" t="b">
        <v>0</v>
      </c>
      <c r="BJ27" s="55">
        <v>0</v>
      </c>
      <c r="BK27" s="55">
        <v>10000</v>
      </c>
      <c r="BL27" s="55" t="b">
        <v>0</v>
      </c>
      <c r="BM27" s="55" t="b">
        <v>0</v>
      </c>
      <c r="BO27" s="55" t="b">
        <v>0</v>
      </c>
      <c r="BP27" s="55" t="s">
        <v>155</v>
      </c>
      <c r="BQ27" s="55">
        <v>19</v>
      </c>
      <c r="BR27" s="55" t="s">
        <v>153</v>
      </c>
      <c r="BS27" s="55" t="s">
        <v>156</v>
      </c>
      <c r="BU27" s="55" t="s">
        <v>489</v>
      </c>
      <c r="BV27" s="55" t="s">
        <v>490</v>
      </c>
      <c r="BW27" s="55" t="s">
        <v>490</v>
      </c>
      <c r="BX27" s="55" t="s">
        <v>490</v>
      </c>
      <c r="BZ27" s="55" t="s">
        <v>491</v>
      </c>
      <c r="CA27" s="55" t="s">
        <v>492</v>
      </c>
      <c r="CI27" s="55" t="s">
        <v>161</v>
      </c>
      <c r="CJ27" s="55" t="s">
        <v>323</v>
      </c>
      <c r="CK27" s="55" t="s">
        <v>383</v>
      </c>
      <c r="CL27" s="55" t="s">
        <v>255</v>
      </c>
      <c r="CM27" s="55" t="s">
        <v>255</v>
      </c>
      <c r="CN27" s="55" t="s">
        <v>166</v>
      </c>
      <c r="CP27" s="55" t="s">
        <v>493</v>
      </c>
      <c r="CQ27" s="55" t="s">
        <v>494</v>
      </c>
      <c r="CR27" s="55" t="s">
        <v>495</v>
      </c>
      <c r="CS27" s="55" t="s">
        <v>170</v>
      </c>
      <c r="CT27" s="55" t="s">
        <v>171</v>
      </c>
      <c r="CU27" s="55" t="s">
        <v>172</v>
      </c>
      <c r="CV27" s="55" t="s">
        <v>173</v>
      </c>
    </row>
    <row r="28" spans="1:113">
      <c r="A28" s="55" t="s">
        <v>496</v>
      </c>
      <c r="B28" s="55" t="s">
        <v>497</v>
      </c>
      <c r="C28" s="55" t="s">
        <v>135</v>
      </c>
      <c r="D28" s="55" t="b">
        <v>0</v>
      </c>
      <c r="E28" s="55" t="b">
        <v>0</v>
      </c>
      <c r="F28" s="55" t="s">
        <v>136</v>
      </c>
      <c r="G28" s="55" t="s">
        <v>498</v>
      </c>
      <c r="H28" s="55" t="s">
        <v>138</v>
      </c>
      <c r="I28" s="55" t="s">
        <v>139</v>
      </c>
      <c r="J28" s="55" t="s">
        <v>136</v>
      </c>
      <c r="K28" s="55" t="b">
        <v>0</v>
      </c>
      <c r="L28" s="56">
        <v>45860.716493055559</v>
      </c>
      <c r="O28" s="55">
        <v>0</v>
      </c>
      <c r="P28" s="56">
        <v>45427.43582175926</v>
      </c>
      <c r="Q28" s="56">
        <v>45887.661307870367</v>
      </c>
      <c r="R28" s="57">
        <v>16</v>
      </c>
      <c r="S28" s="55" t="s">
        <v>140</v>
      </c>
      <c r="T28" s="57">
        <v>32768</v>
      </c>
      <c r="U28" s="55">
        <v>983</v>
      </c>
      <c r="V28" s="55">
        <v>3</v>
      </c>
      <c r="W28" s="55">
        <v>7</v>
      </c>
      <c r="X28" s="58">
        <v>14479360</v>
      </c>
      <c r="Z28" s="55" t="s">
        <v>311</v>
      </c>
      <c r="AA28" s="55" t="s">
        <v>142</v>
      </c>
      <c r="AC28" s="55" t="b">
        <v>1</v>
      </c>
      <c r="AD28" s="55" t="b">
        <v>1</v>
      </c>
      <c r="AE28" s="55" t="s">
        <v>499</v>
      </c>
      <c r="AF28" s="55" t="s">
        <v>314</v>
      </c>
      <c r="AG28" s="55" t="s">
        <v>487</v>
      </c>
      <c r="AH28" s="55" t="s">
        <v>315</v>
      </c>
      <c r="AN28" s="55">
        <v>1</v>
      </c>
      <c r="AO28" s="55">
        <v>8192</v>
      </c>
      <c r="AP28" s="55" t="s">
        <v>488</v>
      </c>
      <c r="AQ28" s="55" t="s">
        <v>317</v>
      </c>
      <c r="AR28" s="55" t="s">
        <v>318</v>
      </c>
      <c r="AT28" s="55" t="b">
        <v>1</v>
      </c>
      <c r="AU28" s="55" t="s">
        <v>150</v>
      </c>
      <c r="AW28" s="55" t="s">
        <v>151</v>
      </c>
      <c r="AX28" s="55">
        <v>-1</v>
      </c>
      <c r="AY28" s="55">
        <v>-1</v>
      </c>
      <c r="BA28" s="55">
        <v>14512521</v>
      </c>
      <c r="BB28" s="55">
        <v>14512521</v>
      </c>
      <c r="BC28" s="55">
        <v>14479360</v>
      </c>
      <c r="BD28" s="55" t="s">
        <v>152</v>
      </c>
      <c r="BE28" s="55" t="s">
        <v>153</v>
      </c>
      <c r="BF28" s="55" t="s">
        <v>154</v>
      </c>
      <c r="BI28" s="55" t="b">
        <v>0</v>
      </c>
      <c r="BJ28" s="55">
        <v>0</v>
      </c>
      <c r="BK28" s="55">
        <v>10000</v>
      </c>
      <c r="BL28" s="55" t="b">
        <v>0</v>
      </c>
      <c r="BM28" s="55" t="b">
        <v>0</v>
      </c>
      <c r="BO28" s="55" t="b">
        <v>0</v>
      </c>
      <c r="BP28" s="55" t="s">
        <v>155</v>
      </c>
      <c r="BQ28" s="55">
        <v>19</v>
      </c>
      <c r="BR28" s="55" t="s">
        <v>153</v>
      </c>
      <c r="BS28" s="55" t="s">
        <v>156</v>
      </c>
      <c r="BU28" s="55" t="s">
        <v>500</v>
      </c>
      <c r="BV28" s="55" t="s">
        <v>501</v>
      </c>
      <c r="BW28" s="55" t="s">
        <v>501</v>
      </c>
      <c r="BX28" s="55" t="s">
        <v>501</v>
      </c>
      <c r="BZ28" s="55" t="s">
        <v>502</v>
      </c>
      <c r="CA28" s="55" t="s">
        <v>503</v>
      </c>
      <c r="CI28" s="55" t="s">
        <v>161</v>
      </c>
      <c r="CJ28" s="55" t="s">
        <v>323</v>
      </c>
      <c r="CK28" s="55" t="s">
        <v>338</v>
      </c>
      <c r="CL28" s="55" t="s">
        <v>255</v>
      </c>
      <c r="CM28" s="55" t="s">
        <v>255</v>
      </c>
      <c r="CN28" s="55" t="s">
        <v>166</v>
      </c>
      <c r="CP28" s="55" t="s">
        <v>504</v>
      </c>
      <c r="CQ28" s="55" t="s">
        <v>505</v>
      </c>
      <c r="CR28" s="55" t="s">
        <v>506</v>
      </c>
      <c r="CS28" s="55" t="s">
        <v>170</v>
      </c>
      <c r="CT28" s="55" t="s">
        <v>171</v>
      </c>
      <c r="CU28" s="55" t="s">
        <v>172</v>
      </c>
      <c r="CV28" s="55" t="s">
        <v>173</v>
      </c>
    </row>
    <row r="29" spans="1:113">
      <c r="A29" s="55" t="s">
        <v>507</v>
      </c>
      <c r="B29" s="55" t="s">
        <v>508</v>
      </c>
      <c r="C29" s="55" t="s">
        <v>135</v>
      </c>
      <c r="D29" s="55" t="b">
        <v>0</v>
      </c>
      <c r="E29" s="55" t="b">
        <v>0</v>
      </c>
      <c r="F29" s="55" t="s">
        <v>136</v>
      </c>
      <c r="G29" s="55" t="s">
        <v>509</v>
      </c>
      <c r="H29" s="55" t="s">
        <v>138</v>
      </c>
      <c r="I29" s="55" t="s">
        <v>139</v>
      </c>
      <c r="J29" s="55" t="s">
        <v>136</v>
      </c>
      <c r="K29" s="55" t="b">
        <v>0</v>
      </c>
      <c r="L29" s="56">
        <v>45468.705937500003</v>
      </c>
      <c r="O29" s="55">
        <v>0</v>
      </c>
      <c r="P29" s="56">
        <v>45455.403194444443</v>
      </c>
      <c r="Q29" s="56">
        <v>45886.884814814817</v>
      </c>
      <c r="R29" s="57">
        <v>4</v>
      </c>
      <c r="S29" s="55" t="s">
        <v>140</v>
      </c>
      <c r="T29" s="57">
        <v>3072</v>
      </c>
      <c r="U29" s="55">
        <v>92</v>
      </c>
      <c r="V29" s="55">
        <v>1</v>
      </c>
      <c r="W29" s="55">
        <v>1</v>
      </c>
      <c r="X29" s="58">
        <v>122880</v>
      </c>
      <c r="Z29" s="55" t="s">
        <v>311</v>
      </c>
      <c r="AA29" s="55" t="s">
        <v>142</v>
      </c>
      <c r="AD29" s="55" t="b">
        <v>1</v>
      </c>
      <c r="AE29" s="55" t="s">
        <v>510</v>
      </c>
      <c r="AF29" s="55" t="s">
        <v>511</v>
      </c>
      <c r="AN29" s="55">
        <v>1</v>
      </c>
      <c r="AO29" s="55">
        <v>8192</v>
      </c>
      <c r="AP29" s="55" t="s">
        <v>488</v>
      </c>
      <c r="AQ29" s="55" t="s">
        <v>317</v>
      </c>
      <c r="AR29" s="55" t="s">
        <v>318</v>
      </c>
      <c r="AT29" s="55" t="b">
        <v>1</v>
      </c>
      <c r="AU29" s="55" t="s">
        <v>150</v>
      </c>
      <c r="AW29" s="55" t="s">
        <v>151</v>
      </c>
      <c r="AX29" s="55">
        <v>-1</v>
      </c>
      <c r="AY29" s="55">
        <v>-1</v>
      </c>
      <c r="BA29" s="55">
        <v>126061</v>
      </c>
      <c r="BB29" s="55">
        <v>126061</v>
      </c>
      <c r="BC29" s="55">
        <v>122880</v>
      </c>
      <c r="BD29" s="55" t="s">
        <v>152</v>
      </c>
      <c r="BE29" s="55" t="s">
        <v>153</v>
      </c>
      <c r="BF29" s="55" t="s">
        <v>154</v>
      </c>
      <c r="BI29" s="55" t="b">
        <v>0</v>
      </c>
      <c r="BJ29" s="55">
        <v>0</v>
      </c>
      <c r="BK29" s="55">
        <v>10000</v>
      </c>
      <c r="BL29" s="55" t="b">
        <v>0</v>
      </c>
      <c r="BM29" s="55" t="b">
        <v>0</v>
      </c>
      <c r="BO29" s="55" t="b">
        <v>0</v>
      </c>
      <c r="BP29" s="55" t="s">
        <v>155</v>
      </c>
      <c r="BQ29" s="55">
        <v>19</v>
      </c>
      <c r="BR29" s="55" t="s">
        <v>153</v>
      </c>
      <c r="BS29" s="55" t="s">
        <v>156</v>
      </c>
      <c r="BU29" s="55" t="s">
        <v>512</v>
      </c>
      <c r="BV29" s="55" t="s">
        <v>513</v>
      </c>
      <c r="BW29" s="55" t="s">
        <v>513</v>
      </c>
      <c r="BX29" s="55" t="s">
        <v>513</v>
      </c>
      <c r="BZ29" s="55" t="s">
        <v>514</v>
      </c>
      <c r="CA29" s="55" t="s">
        <v>515</v>
      </c>
      <c r="CI29" s="55" t="s">
        <v>161</v>
      </c>
      <c r="CJ29" s="55" t="s">
        <v>323</v>
      </c>
      <c r="CK29" s="55" t="s">
        <v>408</v>
      </c>
      <c r="CL29" s="55" t="s">
        <v>199</v>
      </c>
      <c r="CM29" s="55" t="s">
        <v>199</v>
      </c>
      <c r="CN29" s="55" t="s">
        <v>166</v>
      </c>
      <c r="CP29" s="55" t="s">
        <v>516</v>
      </c>
      <c r="CQ29" s="55" t="s">
        <v>517</v>
      </c>
      <c r="CR29" s="55" t="s">
        <v>518</v>
      </c>
      <c r="CS29" s="55" t="s">
        <v>170</v>
      </c>
      <c r="CT29" s="55" t="s">
        <v>171</v>
      </c>
      <c r="CU29" s="55" t="s">
        <v>172</v>
      </c>
      <c r="CV29" s="55" t="s">
        <v>173</v>
      </c>
    </row>
    <row r="30" spans="1:113">
      <c r="A30" s="55" t="s">
        <v>519</v>
      </c>
      <c r="B30" s="55" t="s">
        <v>520</v>
      </c>
      <c r="C30" s="55" t="s">
        <v>135</v>
      </c>
      <c r="D30" s="55" t="b">
        <v>0</v>
      </c>
      <c r="E30" s="55" t="b">
        <v>0</v>
      </c>
      <c r="F30" s="55" t="s">
        <v>136</v>
      </c>
      <c r="G30" s="55" t="s">
        <v>521</v>
      </c>
      <c r="H30" s="55" t="s">
        <v>138</v>
      </c>
      <c r="I30" s="55" t="s">
        <v>139</v>
      </c>
      <c r="J30" s="55" t="s">
        <v>136</v>
      </c>
      <c r="K30" s="55" t="b">
        <v>0</v>
      </c>
      <c r="L30" s="56">
        <v>45468.705972222233</v>
      </c>
      <c r="O30" s="55">
        <v>0</v>
      </c>
      <c r="P30" s="56">
        <v>45455.408622685187</v>
      </c>
      <c r="Q30" s="56">
        <v>45881.846250000002</v>
      </c>
      <c r="R30" s="57">
        <v>4</v>
      </c>
      <c r="S30" s="55" t="s">
        <v>140</v>
      </c>
      <c r="T30" s="57">
        <v>3072</v>
      </c>
      <c r="U30" s="55">
        <v>122</v>
      </c>
      <c r="V30" s="55">
        <v>1</v>
      </c>
      <c r="W30" s="55">
        <v>1</v>
      </c>
      <c r="X30" s="58">
        <v>122880</v>
      </c>
      <c r="Z30" s="55" t="s">
        <v>311</v>
      </c>
      <c r="AA30" s="55" t="s">
        <v>142</v>
      </c>
      <c r="AD30" s="55" t="b">
        <v>1</v>
      </c>
      <c r="AE30" s="55" t="s">
        <v>522</v>
      </c>
      <c r="AF30" s="55" t="s">
        <v>511</v>
      </c>
      <c r="AN30" s="55">
        <v>1</v>
      </c>
      <c r="AO30" s="55">
        <v>8192</v>
      </c>
      <c r="AP30" s="55" t="s">
        <v>488</v>
      </c>
      <c r="AQ30" s="55" t="s">
        <v>317</v>
      </c>
      <c r="AR30" s="55" t="s">
        <v>318</v>
      </c>
      <c r="AT30" s="55" t="b">
        <v>1</v>
      </c>
      <c r="AU30" s="55" t="s">
        <v>150</v>
      </c>
      <c r="AW30" s="55" t="s">
        <v>151</v>
      </c>
      <c r="AX30" s="55">
        <v>-1</v>
      </c>
      <c r="AY30" s="55">
        <v>-1</v>
      </c>
      <c r="BA30" s="55">
        <v>126069</v>
      </c>
      <c r="BB30" s="55">
        <v>126069</v>
      </c>
      <c r="BC30" s="55">
        <v>122880</v>
      </c>
      <c r="BD30" s="55" t="s">
        <v>152</v>
      </c>
      <c r="BE30" s="55" t="s">
        <v>153</v>
      </c>
      <c r="BF30" s="55" t="s">
        <v>154</v>
      </c>
      <c r="BI30" s="55" t="b">
        <v>0</v>
      </c>
      <c r="BJ30" s="55">
        <v>0</v>
      </c>
      <c r="BK30" s="55">
        <v>10000</v>
      </c>
      <c r="BL30" s="55" t="b">
        <v>0</v>
      </c>
      <c r="BM30" s="55" t="b">
        <v>0</v>
      </c>
      <c r="BO30" s="55" t="b">
        <v>0</v>
      </c>
      <c r="BP30" s="55" t="s">
        <v>155</v>
      </c>
      <c r="BQ30" s="55">
        <v>19</v>
      </c>
      <c r="BR30" s="55" t="s">
        <v>153</v>
      </c>
      <c r="BS30" s="55" t="s">
        <v>156</v>
      </c>
      <c r="BU30" s="55" t="s">
        <v>523</v>
      </c>
      <c r="BV30" s="55" t="s">
        <v>524</v>
      </c>
      <c r="BW30" s="55" t="s">
        <v>524</v>
      </c>
      <c r="BX30" s="55" t="s">
        <v>524</v>
      </c>
      <c r="BZ30" s="55" t="s">
        <v>525</v>
      </c>
      <c r="CA30" s="55" t="s">
        <v>526</v>
      </c>
      <c r="CI30" s="55" t="s">
        <v>161</v>
      </c>
      <c r="CJ30" s="55" t="s">
        <v>323</v>
      </c>
      <c r="CK30" s="55" t="s">
        <v>383</v>
      </c>
      <c r="CL30" s="55" t="s">
        <v>199</v>
      </c>
      <c r="CM30" s="55" t="s">
        <v>199</v>
      </c>
      <c r="CN30" s="55" t="s">
        <v>166</v>
      </c>
      <c r="CP30" s="55" t="s">
        <v>527</v>
      </c>
      <c r="CQ30" s="55" t="s">
        <v>528</v>
      </c>
      <c r="CR30" s="55" t="s">
        <v>529</v>
      </c>
      <c r="CS30" s="55" t="s">
        <v>170</v>
      </c>
      <c r="CT30" s="55" t="s">
        <v>171</v>
      </c>
      <c r="CU30" s="55" t="s">
        <v>172</v>
      </c>
      <c r="CV30" s="55" t="s">
        <v>173</v>
      </c>
    </row>
    <row r="31" spans="1:113">
      <c r="A31" s="55" t="s">
        <v>530</v>
      </c>
      <c r="B31" s="55" t="s">
        <v>531</v>
      </c>
      <c r="C31" s="55" t="s">
        <v>135</v>
      </c>
      <c r="D31" s="55" t="b">
        <v>0</v>
      </c>
      <c r="E31" s="55" t="b">
        <v>0</v>
      </c>
      <c r="F31" s="55" t="s">
        <v>136</v>
      </c>
      <c r="G31" s="55" t="s">
        <v>532</v>
      </c>
      <c r="H31" s="55" t="s">
        <v>138</v>
      </c>
      <c r="I31" s="55" t="s">
        <v>139</v>
      </c>
      <c r="J31" s="55" t="s">
        <v>136</v>
      </c>
      <c r="K31" s="55" t="b">
        <v>0</v>
      </c>
      <c r="L31" s="56">
        <v>45468.705995370372</v>
      </c>
      <c r="O31" s="55">
        <v>0</v>
      </c>
      <c r="P31" s="56">
        <v>45455.411539351851</v>
      </c>
      <c r="Q31" s="56">
        <v>45879.896817129629</v>
      </c>
      <c r="R31" s="57">
        <v>4</v>
      </c>
      <c r="S31" s="55" t="s">
        <v>140</v>
      </c>
      <c r="T31" s="57">
        <v>3072</v>
      </c>
      <c r="U31" s="55">
        <v>92</v>
      </c>
      <c r="V31" s="55">
        <v>1</v>
      </c>
      <c r="W31" s="55">
        <v>1</v>
      </c>
      <c r="X31" s="58">
        <v>122880</v>
      </c>
      <c r="Z31" s="55" t="s">
        <v>311</v>
      </c>
      <c r="AA31" s="55" t="s">
        <v>142</v>
      </c>
      <c r="AD31" s="55" t="b">
        <v>1</v>
      </c>
      <c r="AE31" s="55" t="s">
        <v>533</v>
      </c>
      <c r="AF31" s="55" t="s">
        <v>511</v>
      </c>
      <c r="AN31" s="55">
        <v>1</v>
      </c>
      <c r="AO31" s="55">
        <v>8192</v>
      </c>
      <c r="AP31" s="55" t="s">
        <v>488</v>
      </c>
      <c r="AQ31" s="55" t="s">
        <v>317</v>
      </c>
      <c r="AR31" s="55" t="s">
        <v>318</v>
      </c>
      <c r="AT31" s="55" t="b">
        <v>1</v>
      </c>
      <c r="AU31" s="55" t="s">
        <v>150</v>
      </c>
      <c r="AW31" s="55" t="s">
        <v>151</v>
      </c>
      <c r="AX31" s="55">
        <v>-1</v>
      </c>
      <c r="AY31" s="55">
        <v>-1</v>
      </c>
      <c r="BA31" s="55">
        <v>126072</v>
      </c>
      <c r="BB31" s="55">
        <v>126072</v>
      </c>
      <c r="BC31" s="55">
        <v>122880</v>
      </c>
      <c r="BD31" s="55" t="s">
        <v>152</v>
      </c>
      <c r="BE31" s="55" t="s">
        <v>153</v>
      </c>
      <c r="BF31" s="55" t="s">
        <v>154</v>
      </c>
      <c r="BI31" s="55" t="b">
        <v>0</v>
      </c>
      <c r="BJ31" s="55">
        <v>0</v>
      </c>
      <c r="BK31" s="55">
        <v>10000</v>
      </c>
      <c r="BL31" s="55" t="b">
        <v>0</v>
      </c>
      <c r="BM31" s="55" t="b">
        <v>0</v>
      </c>
      <c r="BO31" s="55" t="b">
        <v>0</v>
      </c>
      <c r="BP31" s="55" t="s">
        <v>155</v>
      </c>
      <c r="BQ31" s="55">
        <v>19</v>
      </c>
      <c r="BR31" s="55" t="s">
        <v>153</v>
      </c>
      <c r="BS31" s="55" t="s">
        <v>156</v>
      </c>
      <c r="BU31" s="55" t="s">
        <v>534</v>
      </c>
      <c r="BV31" s="55" t="s">
        <v>535</v>
      </c>
      <c r="BW31" s="55" t="s">
        <v>535</v>
      </c>
      <c r="BX31" s="55" t="s">
        <v>535</v>
      </c>
      <c r="BZ31" s="55" t="s">
        <v>536</v>
      </c>
      <c r="CA31" s="55" t="s">
        <v>537</v>
      </c>
      <c r="CI31" s="55" t="s">
        <v>161</v>
      </c>
      <c r="CJ31" s="55" t="s">
        <v>323</v>
      </c>
      <c r="CK31" s="55" t="s">
        <v>383</v>
      </c>
      <c r="CL31" s="55" t="s">
        <v>199</v>
      </c>
      <c r="CM31" s="55" t="s">
        <v>199</v>
      </c>
      <c r="CN31" s="55" t="s">
        <v>166</v>
      </c>
      <c r="CP31" s="55" t="s">
        <v>538</v>
      </c>
      <c r="CQ31" s="55" t="s">
        <v>539</v>
      </c>
      <c r="CR31" s="55" t="s">
        <v>540</v>
      </c>
      <c r="CS31" s="55" t="s">
        <v>170</v>
      </c>
      <c r="CT31" s="55" t="s">
        <v>171</v>
      </c>
      <c r="CU31" s="55" t="s">
        <v>172</v>
      </c>
      <c r="CV31" s="55" t="s">
        <v>173</v>
      </c>
    </row>
    <row r="32" spans="1:113">
      <c r="A32" s="55" t="s">
        <v>541</v>
      </c>
      <c r="B32" s="55" t="s">
        <v>542</v>
      </c>
      <c r="C32" s="55" t="s">
        <v>135</v>
      </c>
      <c r="D32" s="55" t="b">
        <v>0</v>
      </c>
      <c r="E32" s="55" t="b">
        <v>0</v>
      </c>
      <c r="F32" s="55" t="s">
        <v>136</v>
      </c>
      <c r="G32" s="55" t="s">
        <v>543</v>
      </c>
      <c r="H32" s="55" t="s">
        <v>138</v>
      </c>
      <c r="I32" s="55" t="s">
        <v>139</v>
      </c>
      <c r="J32" s="55" t="s">
        <v>136</v>
      </c>
      <c r="K32" s="55" t="b">
        <v>0</v>
      </c>
      <c r="L32" s="56">
        <v>45502.480393518519</v>
      </c>
      <c r="O32" s="55">
        <v>0</v>
      </c>
      <c r="P32" s="56">
        <v>45455.413923611108</v>
      </c>
      <c r="Q32" s="56">
        <v>45887.686712962961</v>
      </c>
      <c r="R32" s="57">
        <v>4</v>
      </c>
      <c r="S32" s="55" t="s">
        <v>140</v>
      </c>
      <c r="T32" s="57">
        <v>16384</v>
      </c>
      <c r="U32" s="55">
        <v>7864</v>
      </c>
      <c r="V32" s="55">
        <v>1</v>
      </c>
      <c r="W32" s="55">
        <v>1</v>
      </c>
      <c r="X32" s="58">
        <v>163840</v>
      </c>
      <c r="Z32" s="55" t="s">
        <v>311</v>
      </c>
      <c r="AA32" s="55" t="s">
        <v>142</v>
      </c>
      <c r="AD32" s="55" t="b">
        <v>1</v>
      </c>
      <c r="AE32" s="55" t="s">
        <v>544</v>
      </c>
      <c r="AF32" s="55" t="s">
        <v>511</v>
      </c>
      <c r="AN32" s="55">
        <v>1</v>
      </c>
      <c r="AO32" s="55">
        <v>8192</v>
      </c>
      <c r="AP32" s="55" t="s">
        <v>488</v>
      </c>
      <c r="AQ32" s="55" t="s">
        <v>317</v>
      </c>
      <c r="AR32" s="55" t="s">
        <v>318</v>
      </c>
      <c r="AT32" s="55" t="b">
        <v>1</v>
      </c>
      <c r="AU32" s="55" t="s">
        <v>150</v>
      </c>
      <c r="AW32" s="55" t="s">
        <v>151</v>
      </c>
      <c r="AX32" s="55">
        <v>-1</v>
      </c>
      <c r="AY32" s="55">
        <v>-1</v>
      </c>
      <c r="BA32" s="55">
        <v>180461</v>
      </c>
      <c r="BB32" s="55">
        <v>180461</v>
      </c>
      <c r="BC32" s="55">
        <v>163840</v>
      </c>
      <c r="BD32" s="55" t="s">
        <v>152</v>
      </c>
      <c r="BE32" s="55" t="s">
        <v>153</v>
      </c>
      <c r="BF32" s="55" t="s">
        <v>154</v>
      </c>
      <c r="BI32" s="55" t="b">
        <v>0</v>
      </c>
      <c r="BJ32" s="55">
        <v>0</v>
      </c>
      <c r="BK32" s="55">
        <v>10000</v>
      </c>
      <c r="BL32" s="55" t="b">
        <v>0</v>
      </c>
      <c r="BM32" s="55" t="b">
        <v>0</v>
      </c>
      <c r="BO32" s="55" t="b">
        <v>0</v>
      </c>
      <c r="BP32" s="55" t="s">
        <v>155</v>
      </c>
      <c r="BQ32" s="55">
        <v>19</v>
      </c>
      <c r="BR32" s="55" t="s">
        <v>153</v>
      </c>
      <c r="BS32" s="55" t="s">
        <v>156</v>
      </c>
      <c r="BU32" s="55" t="s">
        <v>545</v>
      </c>
      <c r="BV32" s="55" t="s">
        <v>546</v>
      </c>
      <c r="BW32" s="55" t="s">
        <v>546</v>
      </c>
      <c r="BX32" s="55" t="s">
        <v>546</v>
      </c>
      <c r="BZ32" s="55" t="s">
        <v>547</v>
      </c>
      <c r="CA32" s="55" t="s">
        <v>548</v>
      </c>
      <c r="CI32" s="55" t="s">
        <v>161</v>
      </c>
      <c r="CJ32" s="55" t="s">
        <v>323</v>
      </c>
      <c r="CK32" s="55" t="s">
        <v>383</v>
      </c>
      <c r="CL32" s="55" t="s">
        <v>199</v>
      </c>
      <c r="CM32" s="55" t="s">
        <v>199</v>
      </c>
      <c r="CN32" s="55" t="s">
        <v>166</v>
      </c>
      <c r="CP32" s="55" t="s">
        <v>549</v>
      </c>
      <c r="CQ32" s="55" t="s">
        <v>550</v>
      </c>
      <c r="CR32" s="55" t="s">
        <v>551</v>
      </c>
      <c r="CS32" s="55" t="s">
        <v>170</v>
      </c>
      <c r="CT32" s="55" t="s">
        <v>171</v>
      </c>
      <c r="CU32" s="55" t="s">
        <v>172</v>
      </c>
      <c r="CV32" s="55" t="s">
        <v>173</v>
      </c>
    </row>
    <row r="33" spans="1:113">
      <c r="A33" s="55" t="s">
        <v>552</v>
      </c>
      <c r="B33" s="55" t="s">
        <v>553</v>
      </c>
      <c r="C33" s="55" t="s">
        <v>135</v>
      </c>
      <c r="D33" s="55" t="b">
        <v>0</v>
      </c>
      <c r="E33" s="55" t="b">
        <v>0</v>
      </c>
      <c r="F33" s="55" t="s">
        <v>136</v>
      </c>
      <c r="G33" s="55" t="s">
        <v>554</v>
      </c>
      <c r="H33" s="55" t="s">
        <v>138</v>
      </c>
      <c r="I33" s="55" t="s">
        <v>139</v>
      </c>
      <c r="J33" s="55" t="s">
        <v>136</v>
      </c>
      <c r="K33" s="55" t="b">
        <v>0</v>
      </c>
      <c r="L33" s="56">
        <v>45502.475752314807</v>
      </c>
      <c r="O33" s="55">
        <v>0</v>
      </c>
      <c r="P33" s="56">
        <v>45455.417291666658</v>
      </c>
      <c r="Q33" s="56">
        <v>45882.406481481477</v>
      </c>
      <c r="R33" s="57">
        <v>4</v>
      </c>
      <c r="S33" s="55" t="s">
        <v>140</v>
      </c>
      <c r="T33" s="57">
        <v>16384</v>
      </c>
      <c r="U33" s="55">
        <v>8519</v>
      </c>
      <c r="V33" s="55">
        <v>1</v>
      </c>
      <c r="W33" s="55">
        <v>1</v>
      </c>
      <c r="X33" s="58">
        <v>163840</v>
      </c>
      <c r="Z33" s="55" t="s">
        <v>311</v>
      </c>
      <c r="AA33" s="55" t="s">
        <v>142</v>
      </c>
      <c r="AD33" s="55" t="b">
        <v>1</v>
      </c>
      <c r="AE33" s="55" t="s">
        <v>555</v>
      </c>
      <c r="AF33" s="55" t="s">
        <v>511</v>
      </c>
      <c r="AN33" s="55">
        <v>1</v>
      </c>
      <c r="AO33" s="55">
        <v>8192</v>
      </c>
      <c r="AP33" s="55" t="s">
        <v>488</v>
      </c>
      <c r="AQ33" s="55" t="s">
        <v>317</v>
      </c>
      <c r="AR33" s="55" t="s">
        <v>318</v>
      </c>
      <c r="AT33" s="55" t="b">
        <v>1</v>
      </c>
      <c r="AU33" s="55" t="s">
        <v>150</v>
      </c>
      <c r="AW33" s="55" t="s">
        <v>151</v>
      </c>
      <c r="AX33" s="55">
        <v>-1</v>
      </c>
      <c r="AY33" s="55">
        <v>-1</v>
      </c>
      <c r="BA33" s="55">
        <v>180431</v>
      </c>
      <c r="BB33" s="55">
        <v>180431</v>
      </c>
      <c r="BC33" s="55">
        <v>163840</v>
      </c>
      <c r="BD33" s="55" t="s">
        <v>152</v>
      </c>
      <c r="BE33" s="55" t="s">
        <v>153</v>
      </c>
      <c r="BF33" s="55" t="s">
        <v>154</v>
      </c>
      <c r="BI33" s="55" t="b">
        <v>0</v>
      </c>
      <c r="BJ33" s="55">
        <v>0</v>
      </c>
      <c r="BK33" s="55">
        <v>10000</v>
      </c>
      <c r="BL33" s="55" t="b">
        <v>0</v>
      </c>
      <c r="BM33" s="55" t="b">
        <v>0</v>
      </c>
      <c r="BO33" s="55" t="b">
        <v>0</v>
      </c>
      <c r="BP33" s="55" t="s">
        <v>155</v>
      </c>
      <c r="BQ33" s="55">
        <v>19</v>
      </c>
      <c r="BR33" s="55" t="s">
        <v>153</v>
      </c>
      <c r="BS33" s="55" t="s">
        <v>156</v>
      </c>
      <c r="BU33" s="55" t="s">
        <v>556</v>
      </c>
      <c r="BV33" s="55" t="s">
        <v>557</v>
      </c>
      <c r="BW33" s="55" t="s">
        <v>557</v>
      </c>
      <c r="BX33" s="55" t="s">
        <v>557</v>
      </c>
      <c r="BZ33" s="55" t="s">
        <v>558</v>
      </c>
      <c r="CA33" s="55" t="s">
        <v>559</v>
      </c>
      <c r="CI33" s="55" t="s">
        <v>161</v>
      </c>
      <c r="CJ33" s="55" t="s">
        <v>323</v>
      </c>
      <c r="CK33" s="55" t="s">
        <v>446</v>
      </c>
      <c r="CL33" s="55" t="s">
        <v>199</v>
      </c>
      <c r="CM33" s="55" t="s">
        <v>199</v>
      </c>
      <c r="CN33" s="55" t="s">
        <v>166</v>
      </c>
      <c r="CP33" s="55" t="s">
        <v>560</v>
      </c>
      <c r="CQ33" s="55" t="s">
        <v>561</v>
      </c>
      <c r="CR33" s="55" t="s">
        <v>562</v>
      </c>
      <c r="CS33" s="55" t="s">
        <v>170</v>
      </c>
      <c r="CT33" s="55" t="s">
        <v>171</v>
      </c>
      <c r="CU33" s="55" t="s">
        <v>172</v>
      </c>
      <c r="CV33" s="55" t="s">
        <v>173</v>
      </c>
    </row>
    <row r="34" spans="1:113">
      <c r="A34" s="55" t="s">
        <v>563</v>
      </c>
      <c r="B34" s="55" t="s">
        <v>564</v>
      </c>
      <c r="C34" s="55" t="s">
        <v>135</v>
      </c>
      <c r="D34" s="55" t="b">
        <v>0</v>
      </c>
      <c r="E34" s="55" t="b">
        <v>0</v>
      </c>
      <c r="F34" s="55" t="s">
        <v>136</v>
      </c>
      <c r="G34" s="55" t="s">
        <v>565</v>
      </c>
      <c r="H34" s="55" t="s">
        <v>138</v>
      </c>
      <c r="I34" s="55" t="s">
        <v>139</v>
      </c>
      <c r="J34" s="55" t="s">
        <v>136</v>
      </c>
      <c r="K34" s="55" t="b">
        <v>0</v>
      </c>
      <c r="L34" s="56">
        <v>45502.485798611109</v>
      </c>
      <c r="O34" s="55">
        <v>0</v>
      </c>
      <c r="P34" s="56">
        <v>45455.419895833344</v>
      </c>
      <c r="Q34" s="56">
        <v>45887.680127314823</v>
      </c>
      <c r="R34" s="57">
        <v>4</v>
      </c>
      <c r="S34" s="55" t="s">
        <v>140</v>
      </c>
      <c r="T34" s="57">
        <v>16384</v>
      </c>
      <c r="U34" s="55">
        <v>5242</v>
      </c>
      <c r="V34" s="55">
        <v>1</v>
      </c>
      <c r="W34" s="55">
        <v>1</v>
      </c>
      <c r="X34" s="58">
        <v>163840</v>
      </c>
      <c r="Z34" s="55" t="s">
        <v>311</v>
      </c>
      <c r="AA34" s="55" t="s">
        <v>142</v>
      </c>
      <c r="AD34" s="55" t="b">
        <v>1</v>
      </c>
      <c r="AE34" s="55" t="s">
        <v>566</v>
      </c>
      <c r="AF34" s="55" t="s">
        <v>511</v>
      </c>
      <c r="AN34" s="55">
        <v>1</v>
      </c>
      <c r="AO34" s="55">
        <v>8192</v>
      </c>
      <c r="AP34" s="55" t="s">
        <v>488</v>
      </c>
      <c r="AQ34" s="55" t="s">
        <v>317</v>
      </c>
      <c r="AR34" s="55" t="s">
        <v>318</v>
      </c>
      <c r="AT34" s="55" t="b">
        <v>1</v>
      </c>
      <c r="AU34" s="55" t="s">
        <v>150</v>
      </c>
      <c r="AW34" s="55" t="s">
        <v>151</v>
      </c>
      <c r="AX34" s="55">
        <v>-1</v>
      </c>
      <c r="AY34" s="55">
        <v>-1</v>
      </c>
      <c r="BA34" s="55">
        <v>180370</v>
      </c>
      <c r="BB34" s="55">
        <v>180370</v>
      </c>
      <c r="BC34" s="55">
        <v>163840</v>
      </c>
      <c r="BD34" s="55" t="s">
        <v>152</v>
      </c>
      <c r="BE34" s="55" t="s">
        <v>153</v>
      </c>
      <c r="BF34" s="55" t="s">
        <v>154</v>
      </c>
      <c r="BI34" s="55" t="b">
        <v>0</v>
      </c>
      <c r="BJ34" s="55">
        <v>0</v>
      </c>
      <c r="BK34" s="55">
        <v>10000</v>
      </c>
      <c r="BL34" s="55" t="b">
        <v>0</v>
      </c>
      <c r="BM34" s="55" t="b">
        <v>0</v>
      </c>
      <c r="BO34" s="55" t="b">
        <v>0</v>
      </c>
      <c r="BP34" s="55" t="s">
        <v>155</v>
      </c>
      <c r="BQ34" s="55">
        <v>19</v>
      </c>
      <c r="BR34" s="55" t="s">
        <v>153</v>
      </c>
      <c r="BS34" s="55" t="s">
        <v>156</v>
      </c>
      <c r="BU34" s="55" t="s">
        <v>567</v>
      </c>
      <c r="BV34" s="55" t="s">
        <v>568</v>
      </c>
      <c r="BW34" s="55" t="s">
        <v>568</v>
      </c>
      <c r="BX34" s="55" t="s">
        <v>568</v>
      </c>
      <c r="BZ34" s="55" t="s">
        <v>569</v>
      </c>
      <c r="CA34" s="55" t="s">
        <v>570</v>
      </c>
      <c r="CI34" s="55" t="s">
        <v>161</v>
      </c>
      <c r="CJ34" s="55" t="s">
        <v>323</v>
      </c>
      <c r="CK34" s="55" t="s">
        <v>446</v>
      </c>
      <c r="CL34" s="55" t="s">
        <v>199</v>
      </c>
      <c r="CM34" s="55" t="s">
        <v>199</v>
      </c>
      <c r="CN34" s="55" t="s">
        <v>166</v>
      </c>
      <c r="CP34" s="55" t="s">
        <v>571</v>
      </c>
      <c r="CQ34" s="55" t="s">
        <v>572</v>
      </c>
      <c r="CR34" s="55" t="s">
        <v>573</v>
      </c>
      <c r="CS34" s="55" t="s">
        <v>170</v>
      </c>
      <c r="CT34" s="55" t="s">
        <v>171</v>
      </c>
      <c r="CU34" s="55" t="s">
        <v>172</v>
      </c>
      <c r="CV34" s="55" t="s">
        <v>173</v>
      </c>
    </row>
    <row r="35" spans="1:113">
      <c r="A35" s="55" t="s">
        <v>574</v>
      </c>
      <c r="B35" s="55" t="s">
        <v>575</v>
      </c>
      <c r="C35" s="55" t="s">
        <v>135</v>
      </c>
      <c r="D35" s="55" t="b">
        <v>0</v>
      </c>
      <c r="E35" s="55" t="b">
        <v>0</v>
      </c>
      <c r="F35" s="55" t="s">
        <v>136</v>
      </c>
      <c r="G35" s="55" t="s">
        <v>576</v>
      </c>
      <c r="H35" s="55" t="s">
        <v>138</v>
      </c>
      <c r="I35" s="55" t="s">
        <v>139</v>
      </c>
      <c r="J35" s="55" t="s">
        <v>136</v>
      </c>
      <c r="K35" s="55" t="b">
        <v>0</v>
      </c>
      <c r="L35" s="56">
        <v>45502.487349537027</v>
      </c>
      <c r="O35" s="55">
        <v>0</v>
      </c>
      <c r="P35" s="56">
        <v>45455.423020833332</v>
      </c>
      <c r="Q35" s="56">
        <v>45813.475613425922</v>
      </c>
      <c r="R35" s="57">
        <v>4</v>
      </c>
      <c r="S35" s="55" t="s">
        <v>140</v>
      </c>
      <c r="T35" s="57">
        <v>8192</v>
      </c>
      <c r="U35" s="55">
        <v>1228</v>
      </c>
      <c r="V35" s="55">
        <v>1</v>
      </c>
      <c r="W35" s="55">
        <v>1</v>
      </c>
      <c r="X35" s="58">
        <v>122880</v>
      </c>
      <c r="Z35" s="55" t="s">
        <v>311</v>
      </c>
      <c r="AA35" s="55" t="s">
        <v>142</v>
      </c>
      <c r="AD35" s="55" t="b">
        <v>1</v>
      </c>
      <c r="AE35" s="55" t="s">
        <v>577</v>
      </c>
      <c r="AF35" s="55" t="s">
        <v>511</v>
      </c>
      <c r="AN35" s="55">
        <v>1</v>
      </c>
      <c r="AO35" s="55">
        <v>8192</v>
      </c>
      <c r="AP35" s="55" t="s">
        <v>488</v>
      </c>
      <c r="AQ35" s="55" t="s">
        <v>317</v>
      </c>
      <c r="AR35" s="55" t="s">
        <v>318</v>
      </c>
      <c r="AT35" s="55" t="b">
        <v>1</v>
      </c>
      <c r="AU35" s="55" t="s">
        <v>150</v>
      </c>
      <c r="AW35" s="55" t="s">
        <v>151</v>
      </c>
      <c r="AX35" s="55">
        <v>-1</v>
      </c>
      <c r="AY35" s="55">
        <v>-1</v>
      </c>
      <c r="BA35" s="55">
        <v>131499</v>
      </c>
      <c r="BB35" s="55">
        <v>131499</v>
      </c>
      <c r="BC35" s="55">
        <v>122880</v>
      </c>
      <c r="BD35" s="55" t="s">
        <v>152</v>
      </c>
      <c r="BE35" s="55" t="s">
        <v>153</v>
      </c>
      <c r="BF35" s="55" t="s">
        <v>154</v>
      </c>
      <c r="BI35" s="55" t="b">
        <v>0</v>
      </c>
      <c r="BJ35" s="55">
        <v>0</v>
      </c>
      <c r="BK35" s="55">
        <v>10000</v>
      </c>
      <c r="BL35" s="55" t="b">
        <v>0</v>
      </c>
      <c r="BM35" s="55" t="b">
        <v>0</v>
      </c>
      <c r="BO35" s="55" t="b">
        <v>0</v>
      </c>
      <c r="BP35" s="55" t="s">
        <v>155</v>
      </c>
      <c r="BQ35" s="55">
        <v>19</v>
      </c>
      <c r="BR35" s="55" t="s">
        <v>153</v>
      </c>
      <c r="BS35" s="55" t="s">
        <v>156</v>
      </c>
      <c r="BU35" s="55" t="s">
        <v>578</v>
      </c>
      <c r="BV35" s="55" t="s">
        <v>579</v>
      </c>
      <c r="BW35" s="55" t="s">
        <v>579</v>
      </c>
      <c r="BX35" s="55" t="s">
        <v>579</v>
      </c>
      <c r="BZ35" s="55" t="s">
        <v>580</v>
      </c>
      <c r="CA35" s="55" t="s">
        <v>581</v>
      </c>
      <c r="CI35" s="55" t="s">
        <v>161</v>
      </c>
      <c r="CJ35" s="55" t="s">
        <v>323</v>
      </c>
      <c r="CK35" s="55" t="s">
        <v>395</v>
      </c>
      <c r="CL35" s="55" t="s">
        <v>199</v>
      </c>
      <c r="CM35" s="55" t="s">
        <v>199</v>
      </c>
      <c r="CN35" s="55" t="s">
        <v>166</v>
      </c>
      <c r="CP35" s="55" t="s">
        <v>582</v>
      </c>
      <c r="CQ35" s="55" t="s">
        <v>583</v>
      </c>
      <c r="CR35" s="55" t="s">
        <v>584</v>
      </c>
      <c r="CS35" s="55" t="s">
        <v>170</v>
      </c>
      <c r="CT35" s="55" t="s">
        <v>171</v>
      </c>
      <c r="CU35" s="55" t="s">
        <v>172</v>
      </c>
      <c r="CV35" s="55" t="s">
        <v>173</v>
      </c>
    </row>
    <row r="36" spans="1:113">
      <c r="A36" s="55" t="s">
        <v>585</v>
      </c>
      <c r="B36" s="55" t="s">
        <v>586</v>
      </c>
      <c r="C36" s="55" t="s">
        <v>135</v>
      </c>
      <c r="D36" s="55" t="b">
        <v>0</v>
      </c>
      <c r="E36" s="55" t="b">
        <v>0</v>
      </c>
      <c r="F36" s="55" t="s">
        <v>136</v>
      </c>
      <c r="G36" s="55" t="s">
        <v>587</v>
      </c>
      <c r="H36" s="55" t="s">
        <v>138</v>
      </c>
      <c r="I36" s="55" t="s">
        <v>139</v>
      </c>
      <c r="J36" s="55" t="s">
        <v>136</v>
      </c>
      <c r="K36" s="55" t="b">
        <v>0</v>
      </c>
      <c r="L36" s="56">
        <v>45502.477430555547</v>
      </c>
      <c r="O36" s="55">
        <v>0</v>
      </c>
      <c r="P36" s="56">
        <v>45455.425497685188</v>
      </c>
      <c r="Q36" s="56">
        <v>45887.696168981478</v>
      </c>
      <c r="R36" s="57">
        <v>4</v>
      </c>
      <c r="S36" s="55" t="s">
        <v>140</v>
      </c>
      <c r="T36" s="57">
        <v>8192</v>
      </c>
      <c r="U36" s="55">
        <v>1146</v>
      </c>
      <c r="V36" s="55">
        <v>1</v>
      </c>
      <c r="W36" s="55">
        <v>1</v>
      </c>
      <c r="X36" s="58">
        <v>122880</v>
      </c>
      <c r="Z36" s="55" t="s">
        <v>311</v>
      </c>
      <c r="AA36" s="55" t="s">
        <v>142</v>
      </c>
      <c r="AD36" s="55" t="b">
        <v>1</v>
      </c>
      <c r="AE36" s="55" t="s">
        <v>588</v>
      </c>
      <c r="AF36" s="55" t="s">
        <v>511</v>
      </c>
      <c r="AN36" s="55">
        <v>1</v>
      </c>
      <c r="AO36" s="55">
        <v>8192</v>
      </c>
      <c r="AP36" s="55" t="s">
        <v>488</v>
      </c>
      <c r="AQ36" s="55" t="s">
        <v>317</v>
      </c>
      <c r="AR36" s="55" t="s">
        <v>318</v>
      </c>
      <c r="AT36" s="55" t="b">
        <v>1</v>
      </c>
      <c r="AU36" s="55" t="s">
        <v>150</v>
      </c>
      <c r="AW36" s="55" t="s">
        <v>151</v>
      </c>
      <c r="AX36" s="55">
        <v>-1</v>
      </c>
      <c r="AY36" s="55">
        <v>-1</v>
      </c>
      <c r="BA36" s="55">
        <v>131707</v>
      </c>
      <c r="BB36" s="55">
        <v>131707</v>
      </c>
      <c r="BC36" s="55">
        <v>122880</v>
      </c>
      <c r="BD36" s="55" t="s">
        <v>152</v>
      </c>
      <c r="BE36" s="55" t="s">
        <v>153</v>
      </c>
      <c r="BF36" s="55" t="s">
        <v>154</v>
      </c>
      <c r="BI36" s="55" t="b">
        <v>0</v>
      </c>
      <c r="BJ36" s="55">
        <v>0</v>
      </c>
      <c r="BK36" s="55">
        <v>10000</v>
      </c>
      <c r="BL36" s="55" t="b">
        <v>0</v>
      </c>
      <c r="BM36" s="55" t="b">
        <v>0</v>
      </c>
      <c r="BO36" s="55" t="b">
        <v>0</v>
      </c>
      <c r="BP36" s="55" t="s">
        <v>155</v>
      </c>
      <c r="BQ36" s="55">
        <v>19</v>
      </c>
      <c r="BR36" s="55" t="s">
        <v>153</v>
      </c>
      <c r="BS36" s="55" t="s">
        <v>156</v>
      </c>
      <c r="BU36" s="55" t="s">
        <v>589</v>
      </c>
      <c r="BV36" s="55" t="s">
        <v>590</v>
      </c>
      <c r="BW36" s="55" t="s">
        <v>590</v>
      </c>
      <c r="BX36" s="55" t="s">
        <v>590</v>
      </c>
      <c r="BZ36" s="55" t="s">
        <v>591</v>
      </c>
      <c r="CA36" s="55" t="s">
        <v>592</v>
      </c>
      <c r="CI36" s="55" t="s">
        <v>161</v>
      </c>
      <c r="CJ36" s="55" t="s">
        <v>323</v>
      </c>
      <c r="CK36" s="55" t="s">
        <v>395</v>
      </c>
      <c r="CL36" s="55" t="s">
        <v>199</v>
      </c>
      <c r="CM36" s="55" t="s">
        <v>199</v>
      </c>
      <c r="CN36" s="55" t="s">
        <v>166</v>
      </c>
      <c r="CP36" s="55" t="s">
        <v>593</v>
      </c>
      <c r="CQ36" s="55" t="s">
        <v>594</v>
      </c>
      <c r="CR36" s="55" t="s">
        <v>595</v>
      </c>
      <c r="CS36" s="55" t="s">
        <v>170</v>
      </c>
      <c r="CT36" s="55" t="s">
        <v>171</v>
      </c>
      <c r="CU36" s="55" t="s">
        <v>172</v>
      </c>
      <c r="CV36" s="55" t="s">
        <v>173</v>
      </c>
    </row>
    <row r="37" spans="1:113">
      <c r="A37" s="55" t="s">
        <v>596</v>
      </c>
      <c r="B37" s="55" t="s">
        <v>597</v>
      </c>
      <c r="C37" s="55" t="s">
        <v>135</v>
      </c>
      <c r="D37" s="55" t="b">
        <v>0</v>
      </c>
      <c r="E37" s="55" t="b">
        <v>0</v>
      </c>
      <c r="F37" s="55" t="s">
        <v>136</v>
      </c>
      <c r="G37" s="55" t="s">
        <v>598</v>
      </c>
      <c r="H37" s="55" t="s">
        <v>138</v>
      </c>
      <c r="I37" s="55" t="s">
        <v>139</v>
      </c>
      <c r="J37" s="55" t="s">
        <v>136</v>
      </c>
      <c r="K37" s="55" t="b">
        <v>0</v>
      </c>
      <c r="L37" s="56">
        <v>45502.48033564815</v>
      </c>
      <c r="O37" s="55">
        <v>0</v>
      </c>
      <c r="P37" s="56">
        <v>45455.427812499998</v>
      </c>
      <c r="Q37" s="56">
        <v>45881.478668981479</v>
      </c>
      <c r="R37" s="57">
        <v>4</v>
      </c>
      <c r="S37" s="55" t="s">
        <v>140</v>
      </c>
      <c r="T37" s="57">
        <v>8192</v>
      </c>
      <c r="U37" s="55">
        <v>1638</v>
      </c>
      <c r="V37" s="55">
        <v>1</v>
      </c>
      <c r="W37" s="55">
        <v>1</v>
      </c>
      <c r="X37" s="58">
        <v>122880</v>
      </c>
      <c r="Z37" s="55" t="s">
        <v>311</v>
      </c>
      <c r="AA37" s="55" t="s">
        <v>142</v>
      </c>
      <c r="AD37" s="55" t="b">
        <v>1</v>
      </c>
      <c r="AE37" s="55" t="s">
        <v>190</v>
      </c>
      <c r="AF37" s="55" t="s">
        <v>511</v>
      </c>
      <c r="AN37" s="55">
        <v>1</v>
      </c>
      <c r="AO37" s="55">
        <v>8192</v>
      </c>
      <c r="AP37" s="55" t="s">
        <v>488</v>
      </c>
      <c r="AQ37" s="55" t="s">
        <v>317</v>
      </c>
      <c r="AR37" s="55" t="s">
        <v>318</v>
      </c>
      <c r="AT37" s="55" t="b">
        <v>1</v>
      </c>
      <c r="AU37" s="55" t="s">
        <v>150</v>
      </c>
      <c r="AW37" s="55" t="s">
        <v>151</v>
      </c>
      <c r="AX37" s="55">
        <v>-1</v>
      </c>
      <c r="AY37" s="55">
        <v>-1</v>
      </c>
      <c r="BA37" s="55">
        <v>131383</v>
      </c>
      <c r="BB37" s="55">
        <v>131383</v>
      </c>
      <c r="BC37" s="55">
        <v>122880</v>
      </c>
      <c r="BD37" s="55" t="s">
        <v>152</v>
      </c>
      <c r="BE37" s="55" t="s">
        <v>153</v>
      </c>
      <c r="BF37" s="55" t="s">
        <v>154</v>
      </c>
      <c r="BI37" s="55" t="b">
        <v>0</v>
      </c>
      <c r="BJ37" s="55">
        <v>0</v>
      </c>
      <c r="BK37" s="55">
        <v>10000</v>
      </c>
      <c r="BL37" s="55" t="b">
        <v>0</v>
      </c>
      <c r="BM37" s="55" t="b">
        <v>0</v>
      </c>
      <c r="BO37" s="55" t="b">
        <v>0</v>
      </c>
      <c r="BP37" s="55" t="s">
        <v>155</v>
      </c>
      <c r="BQ37" s="55">
        <v>19</v>
      </c>
      <c r="BR37" s="55" t="s">
        <v>153</v>
      </c>
      <c r="BS37" s="55" t="s">
        <v>156</v>
      </c>
      <c r="BU37" s="55" t="s">
        <v>599</v>
      </c>
      <c r="BV37" s="55" t="s">
        <v>600</v>
      </c>
      <c r="BW37" s="55" t="s">
        <v>600</v>
      </c>
      <c r="BX37" s="55" t="s">
        <v>600</v>
      </c>
      <c r="BZ37" s="55" t="s">
        <v>601</v>
      </c>
      <c r="CA37" s="55" t="s">
        <v>602</v>
      </c>
      <c r="CI37" s="55" t="s">
        <v>161</v>
      </c>
      <c r="CJ37" s="55" t="s">
        <v>323</v>
      </c>
      <c r="CK37" s="55" t="s">
        <v>324</v>
      </c>
      <c r="CL37" s="55" t="s">
        <v>199</v>
      </c>
      <c r="CM37" s="55" t="s">
        <v>199</v>
      </c>
      <c r="CN37" s="55" t="s">
        <v>166</v>
      </c>
      <c r="CP37" s="55" t="s">
        <v>603</v>
      </c>
      <c r="CQ37" s="55" t="s">
        <v>604</v>
      </c>
      <c r="CR37" s="55" t="s">
        <v>605</v>
      </c>
      <c r="CS37" s="55" t="s">
        <v>170</v>
      </c>
      <c r="CT37" s="55" t="s">
        <v>171</v>
      </c>
      <c r="CU37" s="55" t="s">
        <v>172</v>
      </c>
      <c r="CV37" s="55" t="s">
        <v>173</v>
      </c>
    </row>
    <row r="38" spans="1:113">
      <c r="A38" s="55" t="s">
        <v>606</v>
      </c>
      <c r="B38" s="55" t="s">
        <v>607</v>
      </c>
      <c r="C38" s="55" t="s">
        <v>135</v>
      </c>
      <c r="D38" s="55" t="b">
        <v>0</v>
      </c>
      <c r="E38" s="55" t="b">
        <v>0</v>
      </c>
      <c r="F38" s="55" t="s">
        <v>136</v>
      </c>
      <c r="G38" s="55" t="s">
        <v>608</v>
      </c>
      <c r="H38" s="55" t="s">
        <v>138</v>
      </c>
      <c r="I38" s="55" t="s">
        <v>139</v>
      </c>
      <c r="J38" s="55" t="s">
        <v>136</v>
      </c>
      <c r="K38" s="55" t="b">
        <v>0</v>
      </c>
      <c r="L38" s="56">
        <v>45698.356238425928</v>
      </c>
      <c r="O38" s="55">
        <v>0</v>
      </c>
      <c r="P38" s="56">
        <v>45455.4297337963</v>
      </c>
      <c r="Q38" s="56">
        <v>45874.705011574071</v>
      </c>
      <c r="R38" s="57">
        <v>4</v>
      </c>
      <c r="S38" s="55" t="s">
        <v>140</v>
      </c>
      <c r="T38" s="57">
        <v>8192</v>
      </c>
      <c r="U38" s="55">
        <v>1064</v>
      </c>
      <c r="V38" s="55">
        <v>1</v>
      </c>
      <c r="W38" s="55">
        <v>1</v>
      </c>
      <c r="X38" s="58">
        <v>122880</v>
      </c>
      <c r="Z38" s="55" t="s">
        <v>311</v>
      </c>
      <c r="AA38" s="55" t="s">
        <v>142</v>
      </c>
      <c r="AD38" s="55" t="b">
        <v>1</v>
      </c>
      <c r="AE38" s="55" t="s">
        <v>609</v>
      </c>
      <c r="AF38" s="55" t="s">
        <v>511</v>
      </c>
      <c r="AN38" s="55">
        <v>1</v>
      </c>
      <c r="AO38" s="55">
        <v>8192</v>
      </c>
      <c r="AP38" s="55" t="s">
        <v>488</v>
      </c>
      <c r="AQ38" s="55" t="s">
        <v>317</v>
      </c>
      <c r="AR38" s="55" t="s">
        <v>318</v>
      </c>
      <c r="AT38" s="55" t="b">
        <v>1</v>
      </c>
      <c r="AU38" s="55" t="s">
        <v>150</v>
      </c>
      <c r="AW38" s="55" t="s">
        <v>151</v>
      </c>
      <c r="AX38" s="55">
        <v>-1</v>
      </c>
      <c r="AY38" s="55">
        <v>-1</v>
      </c>
      <c r="BA38" s="55">
        <v>131450</v>
      </c>
      <c r="BB38" s="55">
        <v>131450</v>
      </c>
      <c r="BC38" s="55">
        <v>122880</v>
      </c>
      <c r="BD38" s="55" t="s">
        <v>152</v>
      </c>
      <c r="BE38" s="55" t="s">
        <v>153</v>
      </c>
      <c r="BF38" s="55" t="s">
        <v>154</v>
      </c>
      <c r="BI38" s="55" t="b">
        <v>0</v>
      </c>
      <c r="BJ38" s="55">
        <v>0</v>
      </c>
      <c r="BK38" s="55">
        <v>10000</v>
      </c>
      <c r="BL38" s="55" t="b">
        <v>0</v>
      </c>
      <c r="BM38" s="55" t="b">
        <v>0</v>
      </c>
      <c r="BO38" s="55" t="b">
        <v>0</v>
      </c>
      <c r="BP38" s="55" t="s">
        <v>155</v>
      </c>
      <c r="BQ38" s="55">
        <v>19</v>
      </c>
      <c r="BR38" s="55" t="s">
        <v>153</v>
      </c>
      <c r="BS38" s="55" t="s">
        <v>156</v>
      </c>
      <c r="BU38" s="55" t="s">
        <v>610</v>
      </c>
      <c r="BV38" s="55" t="s">
        <v>611</v>
      </c>
      <c r="BW38" s="55" t="s">
        <v>611</v>
      </c>
      <c r="BX38" s="55" t="s">
        <v>611</v>
      </c>
      <c r="BZ38" s="55" t="s">
        <v>612</v>
      </c>
      <c r="CA38" s="55" t="s">
        <v>613</v>
      </c>
      <c r="CI38" s="55" t="s">
        <v>161</v>
      </c>
      <c r="CJ38" s="55" t="s">
        <v>323</v>
      </c>
      <c r="CK38" s="55" t="s">
        <v>395</v>
      </c>
      <c r="CL38" s="55" t="s">
        <v>199</v>
      </c>
      <c r="CM38" s="55" t="s">
        <v>199</v>
      </c>
      <c r="CN38" s="55" t="s">
        <v>166</v>
      </c>
      <c r="CP38" s="55" t="s">
        <v>614</v>
      </c>
      <c r="CQ38" s="55" t="s">
        <v>615</v>
      </c>
      <c r="CR38" s="55" t="s">
        <v>616</v>
      </c>
      <c r="CS38" s="55" t="s">
        <v>170</v>
      </c>
      <c r="CT38" s="55" t="s">
        <v>171</v>
      </c>
      <c r="CU38" s="55" t="s">
        <v>172</v>
      </c>
      <c r="CV38" s="55" t="s">
        <v>173</v>
      </c>
    </row>
    <row r="39" spans="1:113">
      <c r="A39" s="55" t="s">
        <v>617</v>
      </c>
      <c r="B39" s="55" t="s">
        <v>618</v>
      </c>
      <c r="C39" s="55" t="s">
        <v>135</v>
      </c>
      <c r="D39" s="55" t="b">
        <v>0</v>
      </c>
      <c r="E39" s="55" t="b">
        <v>0</v>
      </c>
      <c r="F39" s="55" t="s">
        <v>136</v>
      </c>
      <c r="G39" s="55" t="s">
        <v>619</v>
      </c>
      <c r="H39" s="55" t="s">
        <v>138</v>
      </c>
      <c r="I39" s="55" t="s">
        <v>139</v>
      </c>
      <c r="J39" s="55" t="s">
        <v>136</v>
      </c>
      <c r="K39" s="55" t="b">
        <v>0</v>
      </c>
      <c r="L39" s="56">
        <v>45502.474490740737</v>
      </c>
      <c r="O39" s="55">
        <v>0</v>
      </c>
      <c r="P39" s="56">
        <v>45455.402800925927</v>
      </c>
      <c r="Q39" s="56">
        <v>45820.986134259263</v>
      </c>
      <c r="R39" s="57">
        <v>4</v>
      </c>
      <c r="S39" s="55" t="s">
        <v>140</v>
      </c>
      <c r="T39" s="57">
        <v>8192</v>
      </c>
      <c r="U39" s="55">
        <v>901</v>
      </c>
      <c r="V39" s="55">
        <v>1</v>
      </c>
      <c r="W39" s="55">
        <v>1</v>
      </c>
      <c r="X39" s="58">
        <v>122880</v>
      </c>
      <c r="Z39" s="55" t="s">
        <v>311</v>
      </c>
      <c r="AA39" s="55" t="s">
        <v>142</v>
      </c>
      <c r="AD39" s="55" t="b">
        <v>1</v>
      </c>
      <c r="AE39" s="55" t="s">
        <v>620</v>
      </c>
      <c r="AF39" s="55" t="s">
        <v>511</v>
      </c>
      <c r="AN39" s="55">
        <v>1</v>
      </c>
      <c r="AO39" s="55">
        <v>8192</v>
      </c>
      <c r="AP39" s="55" t="s">
        <v>488</v>
      </c>
      <c r="AQ39" s="55" t="s">
        <v>317</v>
      </c>
      <c r="AR39" s="55" t="s">
        <v>318</v>
      </c>
      <c r="AT39" s="55" t="b">
        <v>1</v>
      </c>
      <c r="AU39" s="55" t="s">
        <v>150</v>
      </c>
      <c r="AW39" s="55" t="s">
        <v>151</v>
      </c>
      <c r="AX39" s="55">
        <v>-1</v>
      </c>
      <c r="AY39" s="55">
        <v>-1</v>
      </c>
      <c r="BA39" s="55">
        <v>131806</v>
      </c>
      <c r="BB39" s="55">
        <v>131806</v>
      </c>
      <c r="BC39" s="55">
        <v>122880</v>
      </c>
      <c r="BD39" s="55" t="s">
        <v>152</v>
      </c>
      <c r="BE39" s="55" t="s">
        <v>153</v>
      </c>
      <c r="BF39" s="55" t="s">
        <v>154</v>
      </c>
      <c r="BI39" s="55" t="b">
        <v>0</v>
      </c>
      <c r="BJ39" s="55">
        <v>0</v>
      </c>
      <c r="BK39" s="55">
        <v>10000</v>
      </c>
      <c r="BL39" s="55" t="b">
        <v>0</v>
      </c>
      <c r="BM39" s="55" t="b">
        <v>0</v>
      </c>
      <c r="BO39" s="55" t="b">
        <v>0</v>
      </c>
      <c r="BP39" s="55" t="s">
        <v>155</v>
      </c>
      <c r="BQ39" s="55">
        <v>19</v>
      </c>
      <c r="BR39" s="55" t="s">
        <v>153</v>
      </c>
      <c r="BS39" s="55" t="s">
        <v>156</v>
      </c>
      <c r="BU39" s="55" t="s">
        <v>621</v>
      </c>
      <c r="BV39" s="55" t="s">
        <v>622</v>
      </c>
      <c r="BW39" s="55" t="s">
        <v>622</v>
      </c>
      <c r="BX39" s="55" t="s">
        <v>622</v>
      </c>
      <c r="BZ39" s="55" t="s">
        <v>623</v>
      </c>
      <c r="CA39" s="55" t="s">
        <v>624</v>
      </c>
      <c r="CI39" s="55" t="s">
        <v>161</v>
      </c>
      <c r="CJ39" s="55" t="s">
        <v>323</v>
      </c>
      <c r="CK39" s="55" t="s">
        <v>625</v>
      </c>
      <c r="CL39" s="55" t="s">
        <v>199</v>
      </c>
      <c r="CM39" s="55" t="s">
        <v>199</v>
      </c>
      <c r="CN39" s="55" t="s">
        <v>166</v>
      </c>
      <c r="CP39" s="55" t="s">
        <v>626</v>
      </c>
      <c r="CQ39" s="55" t="s">
        <v>627</v>
      </c>
      <c r="CR39" s="55" t="s">
        <v>628</v>
      </c>
      <c r="CS39" s="55" t="s">
        <v>170</v>
      </c>
      <c r="CT39" s="55" t="s">
        <v>171</v>
      </c>
      <c r="CU39" s="55" t="s">
        <v>172</v>
      </c>
      <c r="CV39" s="55" t="s">
        <v>173</v>
      </c>
    </row>
    <row r="40" spans="1:113">
      <c r="A40" s="55" t="s">
        <v>629</v>
      </c>
      <c r="B40" s="55" t="s">
        <v>630</v>
      </c>
      <c r="C40" s="55" t="s">
        <v>135</v>
      </c>
      <c r="D40" s="55" t="b">
        <v>0</v>
      </c>
      <c r="E40" s="55" t="b">
        <v>0</v>
      </c>
      <c r="F40" s="55" t="s">
        <v>136</v>
      </c>
      <c r="G40" s="55" t="s">
        <v>631</v>
      </c>
      <c r="H40" s="55" t="s">
        <v>138</v>
      </c>
      <c r="I40" s="55" t="s">
        <v>139</v>
      </c>
      <c r="J40" s="55" t="s">
        <v>136</v>
      </c>
      <c r="K40" s="55" t="b">
        <v>0</v>
      </c>
      <c r="L40" s="56">
        <v>45697.778391203698</v>
      </c>
      <c r="O40" s="55">
        <v>0</v>
      </c>
      <c r="P40" s="56">
        <v>45455.405682870369</v>
      </c>
      <c r="Q40" s="56">
        <v>45881.532453703701</v>
      </c>
      <c r="R40" s="57">
        <v>4</v>
      </c>
      <c r="S40" s="55" t="s">
        <v>140</v>
      </c>
      <c r="T40" s="57">
        <v>3072</v>
      </c>
      <c r="U40" s="55">
        <v>153</v>
      </c>
      <c r="V40" s="55">
        <v>1</v>
      </c>
      <c r="W40" s="55">
        <v>1</v>
      </c>
      <c r="X40" s="58">
        <v>122880</v>
      </c>
      <c r="Z40" s="55" t="s">
        <v>311</v>
      </c>
      <c r="AA40" s="55" t="s">
        <v>142</v>
      </c>
      <c r="AD40" s="55" t="b">
        <v>1</v>
      </c>
      <c r="AE40" s="55" t="s">
        <v>632</v>
      </c>
      <c r="AF40" s="55" t="s">
        <v>511</v>
      </c>
      <c r="AN40" s="55">
        <v>1</v>
      </c>
      <c r="AO40" s="55">
        <v>16384</v>
      </c>
      <c r="AP40" s="55" t="s">
        <v>488</v>
      </c>
      <c r="AQ40" s="55" t="s">
        <v>317</v>
      </c>
      <c r="AR40" s="55" t="s">
        <v>318</v>
      </c>
      <c r="AT40" s="55" t="b">
        <v>1</v>
      </c>
      <c r="AU40" s="55" t="s">
        <v>150</v>
      </c>
      <c r="AW40" s="55" t="s">
        <v>151</v>
      </c>
      <c r="AX40" s="55">
        <v>-1</v>
      </c>
      <c r="AY40" s="55">
        <v>-1</v>
      </c>
      <c r="BA40" s="55">
        <v>126072</v>
      </c>
      <c r="BB40" s="55">
        <v>126072</v>
      </c>
      <c r="BC40" s="55">
        <v>122880</v>
      </c>
      <c r="BD40" s="55" t="s">
        <v>152</v>
      </c>
      <c r="BE40" s="55" t="s">
        <v>153</v>
      </c>
      <c r="BF40" s="55" t="s">
        <v>154</v>
      </c>
      <c r="BI40" s="55" t="b">
        <v>0</v>
      </c>
      <c r="BJ40" s="55">
        <v>0</v>
      </c>
      <c r="BK40" s="55">
        <v>10000</v>
      </c>
      <c r="BL40" s="55" t="b">
        <v>0</v>
      </c>
      <c r="BM40" s="55" t="b">
        <v>0</v>
      </c>
      <c r="BO40" s="55" t="b">
        <v>0</v>
      </c>
      <c r="BP40" s="55" t="s">
        <v>155</v>
      </c>
      <c r="BQ40" s="55">
        <v>19</v>
      </c>
      <c r="BR40" s="55" t="s">
        <v>153</v>
      </c>
      <c r="BS40" s="55" t="s">
        <v>156</v>
      </c>
      <c r="BU40" s="55" t="s">
        <v>633</v>
      </c>
      <c r="BV40" s="55" t="s">
        <v>634</v>
      </c>
      <c r="BW40" s="55" t="s">
        <v>634</v>
      </c>
      <c r="BX40" s="55" t="s">
        <v>634</v>
      </c>
      <c r="BZ40" s="55" t="s">
        <v>635</v>
      </c>
      <c r="CA40" s="55" t="s">
        <v>602</v>
      </c>
      <c r="CI40" s="55" t="s">
        <v>161</v>
      </c>
      <c r="CJ40" s="55" t="s">
        <v>323</v>
      </c>
      <c r="CK40" s="55" t="s">
        <v>383</v>
      </c>
      <c r="CL40" s="55" t="s">
        <v>199</v>
      </c>
      <c r="CM40" s="55" t="s">
        <v>199</v>
      </c>
      <c r="CN40" s="55" t="s">
        <v>166</v>
      </c>
      <c r="CP40" s="55" t="s">
        <v>636</v>
      </c>
      <c r="CQ40" s="55" t="s">
        <v>637</v>
      </c>
      <c r="CR40" s="55" t="s">
        <v>638</v>
      </c>
      <c r="CS40" s="55" t="s">
        <v>170</v>
      </c>
      <c r="CT40" s="55" t="s">
        <v>171</v>
      </c>
      <c r="CU40" s="55" t="s">
        <v>172</v>
      </c>
      <c r="CV40" s="55" t="s">
        <v>173</v>
      </c>
    </row>
    <row r="41" spans="1:113">
      <c r="A41" s="55" t="s">
        <v>639</v>
      </c>
      <c r="B41" s="55" t="s">
        <v>640</v>
      </c>
      <c r="C41" s="55" t="s">
        <v>135</v>
      </c>
      <c r="D41" s="55" t="b">
        <v>0</v>
      </c>
      <c r="E41" s="55" t="b">
        <v>0</v>
      </c>
      <c r="F41" s="55" t="s">
        <v>136</v>
      </c>
      <c r="G41" s="55" t="s">
        <v>641</v>
      </c>
      <c r="H41" s="55" t="s">
        <v>138</v>
      </c>
      <c r="I41" s="55" t="s">
        <v>139</v>
      </c>
      <c r="J41" s="55" t="s">
        <v>136</v>
      </c>
      <c r="K41" s="55" t="b">
        <v>0</v>
      </c>
      <c r="L41" s="56">
        <v>45468.658842592587</v>
      </c>
      <c r="O41" s="55">
        <v>0</v>
      </c>
      <c r="P41" s="56">
        <v>45455.407812500001</v>
      </c>
      <c r="Q41" s="56">
        <v>45884.028425925928</v>
      </c>
      <c r="R41" s="57">
        <v>8</v>
      </c>
      <c r="S41" s="55" t="s">
        <v>140</v>
      </c>
      <c r="T41" s="57">
        <v>20480</v>
      </c>
      <c r="U41" s="55">
        <v>614</v>
      </c>
      <c r="V41" s="55">
        <v>1</v>
      </c>
      <c r="W41" s="55">
        <v>1</v>
      </c>
      <c r="X41" s="58">
        <v>122880</v>
      </c>
      <c r="Z41" s="55" t="s">
        <v>311</v>
      </c>
      <c r="AA41" s="55" t="s">
        <v>142</v>
      </c>
      <c r="AD41" s="55" t="b">
        <v>1</v>
      </c>
      <c r="AE41" s="55" t="s">
        <v>642</v>
      </c>
      <c r="AF41" s="55" t="s">
        <v>511</v>
      </c>
      <c r="AN41" s="55">
        <v>1</v>
      </c>
      <c r="AO41" s="55">
        <v>8192</v>
      </c>
      <c r="AP41" s="55" t="s">
        <v>488</v>
      </c>
      <c r="AQ41" s="55" t="s">
        <v>317</v>
      </c>
      <c r="AR41" s="55" t="s">
        <v>318</v>
      </c>
      <c r="AT41" s="55" t="b">
        <v>1</v>
      </c>
      <c r="AU41" s="55" t="s">
        <v>150</v>
      </c>
      <c r="AW41" s="55" t="s">
        <v>151</v>
      </c>
      <c r="AX41" s="55">
        <v>-1</v>
      </c>
      <c r="AY41" s="55">
        <v>-1</v>
      </c>
      <c r="BA41" s="55">
        <v>143594</v>
      </c>
      <c r="BB41" s="55">
        <v>143594</v>
      </c>
      <c r="BC41" s="55">
        <v>122880</v>
      </c>
      <c r="BD41" s="55" t="s">
        <v>152</v>
      </c>
      <c r="BE41" s="55" t="s">
        <v>153</v>
      </c>
      <c r="BF41" s="55" t="s">
        <v>154</v>
      </c>
      <c r="BI41" s="55" t="b">
        <v>0</v>
      </c>
      <c r="BJ41" s="55">
        <v>0</v>
      </c>
      <c r="BK41" s="55">
        <v>10000</v>
      </c>
      <c r="BL41" s="55" t="b">
        <v>0</v>
      </c>
      <c r="BM41" s="55" t="b">
        <v>0</v>
      </c>
      <c r="BO41" s="55" t="b">
        <v>0</v>
      </c>
      <c r="BP41" s="55" t="s">
        <v>155</v>
      </c>
      <c r="BQ41" s="55">
        <v>19</v>
      </c>
      <c r="BR41" s="55" t="s">
        <v>153</v>
      </c>
      <c r="BS41" s="55" t="s">
        <v>156</v>
      </c>
      <c r="BU41" s="55" t="s">
        <v>643</v>
      </c>
      <c r="BV41" s="55" t="s">
        <v>644</v>
      </c>
      <c r="BW41" s="55" t="s">
        <v>644</v>
      </c>
      <c r="BX41" s="55" t="s">
        <v>644</v>
      </c>
      <c r="BZ41" s="55" t="s">
        <v>645</v>
      </c>
      <c r="CA41" s="55" t="s">
        <v>646</v>
      </c>
      <c r="CI41" s="55" t="s">
        <v>161</v>
      </c>
      <c r="CJ41" s="55" t="s">
        <v>323</v>
      </c>
      <c r="CK41" s="55" t="s">
        <v>338</v>
      </c>
      <c r="CL41" s="55" t="s">
        <v>199</v>
      </c>
      <c r="CM41" s="55" t="s">
        <v>199</v>
      </c>
      <c r="CN41" s="55" t="s">
        <v>166</v>
      </c>
      <c r="CP41" s="55" t="s">
        <v>647</v>
      </c>
      <c r="CQ41" s="55" t="s">
        <v>648</v>
      </c>
      <c r="CR41" s="55" t="s">
        <v>649</v>
      </c>
      <c r="CS41" s="55" t="s">
        <v>170</v>
      </c>
      <c r="CT41" s="55" t="s">
        <v>171</v>
      </c>
      <c r="CU41" s="55" t="s">
        <v>172</v>
      </c>
      <c r="CV41" s="55" t="s">
        <v>173</v>
      </c>
    </row>
    <row r="42" spans="1:113">
      <c r="A42" s="55" t="s">
        <v>650</v>
      </c>
      <c r="B42" s="55" t="s">
        <v>651</v>
      </c>
      <c r="C42" s="55" t="s">
        <v>135</v>
      </c>
      <c r="D42" s="55" t="b">
        <v>0</v>
      </c>
      <c r="E42" s="55" t="b">
        <v>0</v>
      </c>
      <c r="F42" s="55" t="s">
        <v>136</v>
      </c>
      <c r="G42" s="55" t="s">
        <v>652</v>
      </c>
      <c r="H42" s="55" t="s">
        <v>138</v>
      </c>
      <c r="I42" s="55" t="s">
        <v>139</v>
      </c>
      <c r="J42" s="55" t="s">
        <v>136</v>
      </c>
      <c r="K42" s="55" t="b">
        <v>0</v>
      </c>
      <c r="L42" s="56">
        <v>45825.794560185182</v>
      </c>
      <c r="O42" s="55">
        <v>0</v>
      </c>
      <c r="P42" s="56">
        <v>45482.506527777783</v>
      </c>
      <c r="Q42" s="56">
        <v>45887.696168981478</v>
      </c>
      <c r="R42" s="57">
        <v>8</v>
      </c>
      <c r="S42" s="55" t="s">
        <v>140</v>
      </c>
      <c r="T42" s="57">
        <v>8192</v>
      </c>
      <c r="U42" s="55">
        <v>163</v>
      </c>
      <c r="V42" s="55">
        <v>3</v>
      </c>
      <c r="W42" s="55">
        <v>1</v>
      </c>
      <c r="X42" s="58">
        <v>105472</v>
      </c>
      <c r="Z42" s="55" t="s">
        <v>311</v>
      </c>
      <c r="AA42" s="55" t="s">
        <v>142</v>
      </c>
      <c r="AD42" s="55" t="b">
        <v>1</v>
      </c>
      <c r="AE42" s="55" t="s">
        <v>653</v>
      </c>
      <c r="AF42" s="55" t="s">
        <v>314</v>
      </c>
      <c r="AG42" s="55" t="s">
        <v>315</v>
      </c>
      <c r="AH42" s="55" t="s">
        <v>654</v>
      </c>
      <c r="AN42" s="55">
        <v>1</v>
      </c>
      <c r="AO42" s="55">
        <v>8192</v>
      </c>
      <c r="AP42" s="55" t="s">
        <v>488</v>
      </c>
      <c r="AQ42" s="55" t="s">
        <v>192</v>
      </c>
      <c r="AR42" s="55" t="s">
        <v>193</v>
      </c>
      <c r="AT42" s="55" t="b">
        <v>1</v>
      </c>
      <c r="AU42" s="55" t="s">
        <v>150</v>
      </c>
      <c r="AW42" s="55" t="s">
        <v>151</v>
      </c>
      <c r="AX42" s="55">
        <v>-1</v>
      </c>
      <c r="AY42" s="55">
        <v>-1</v>
      </c>
      <c r="BA42" s="55">
        <v>113787</v>
      </c>
      <c r="BB42" s="55">
        <v>113787</v>
      </c>
      <c r="BC42" s="55">
        <v>105472</v>
      </c>
      <c r="BD42" s="55" t="s">
        <v>152</v>
      </c>
      <c r="BE42" s="55" t="s">
        <v>153</v>
      </c>
      <c r="BF42" s="55" t="s">
        <v>154</v>
      </c>
      <c r="BI42" s="55" t="b">
        <v>0</v>
      </c>
      <c r="BJ42" s="55">
        <v>0</v>
      </c>
      <c r="BK42" s="55">
        <v>10000</v>
      </c>
      <c r="BL42" s="55" t="b">
        <v>0</v>
      </c>
      <c r="BM42" s="55" t="b">
        <v>0</v>
      </c>
      <c r="BO42" s="55" t="b">
        <v>0</v>
      </c>
      <c r="BP42" s="55" t="s">
        <v>155</v>
      </c>
      <c r="BQ42" s="55">
        <v>19</v>
      </c>
      <c r="BR42" s="55" t="s">
        <v>153</v>
      </c>
      <c r="BS42" s="55" t="s">
        <v>156</v>
      </c>
      <c r="BU42" s="55" t="s">
        <v>655</v>
      </c>
      <c r="BV42" s="55" t="s">
        <v>656</v>
      </c>
      <c r="BW42" s="55" t="s">
        <v>656</v>
      </c>
      <c r="BX42" s="55" t="s">
        <v>656</v>
      </c>
      <c r="BY42" s="55" t="s">
        <v>657</v>
      </c>
      <c r="BZ42" s="55" t="s">
        <v>658</v>
      </c>
      <c r="CA42" s="55" t="s">
        <v>659</v>
      </c>
      <c r="CI42" s="55" t="s">
        <v>161</v>
      </c>
      <c r="CJ42" s="55" t="s">
        <v>323</v>
      </c>
      <c r="CK42" s="55" t="s">
        <v>395</v>
      </c>
      <c r="CL42" s="55" t="s">
        <v>199</v>
      </c>
      <c r="CM42" s="55" t="s">
        <v>199</v>
      </c>
      <c r="CN42" s="55" t="s">
        <v>166</v>
      </c>
      <c r="CP42" s="55" t="s">
        <v>660</v>
      </c>
      <c r="CQ42" s="55" t="s">
        <v>661</v>
      </c>
      <c r="CR42" s="55" t="s">
        <v>662</v>
      </c>
      <c r="CS42" s="55" t="s">
        <v>170</v>
      </c>
      <c r="CT42" s="55" t="s">
        <v>171</v>
      </c>
      <c r="CU42" s="55" t="s">
        <v>172</v>
      </c>
      <c r="CV42" s="55" t="s">
        <v>173</v>
      </c>
    </row>
    <row r="43" spans="1:113">
      <c r="A43" s="55" t="s">
        <v>663</v>
      </c>
      <c r="B43" s="55" t="s">
        <v>664</v>
      </c>
      <c r="C43" s="55" t="s">
        <v>135</v>
      </c>
      <c r="D43" s="55" t="b">
        <v>0</v>
      </c>
      <c r="E43" s="55" t="b">
        <v>0</v>
      </c>
      <c r="F43" s="55" t="s">
        <v>136</v>
      </c>
      <c r="G43" s="55" t="s">
        <v>665</v>
      </c>
      <c r="H43" s="55" t="s">
        <v>138</v>
      </c>
      <c r="I43" s="55" t="s">
        <v>139</v>
      </c>
      <c r="J43" s="55" t="s">
        <v>136</v>
      </c>
      <c r="K43" s="55" t="b">
        <v>0</v>
      </c>
      <c r="L43" s="56">
        <v>45844.940613425933</v>
      </c>
      <c r="O43" s="55">
        <v>0</v>
      </c>
      <c r="P43" s="56">
        <v>45482.599560185183</v>
      </c>
      <c r="Q43" s="56">
        <v>45880.855636574073</v>
      </c>
      <c r="R43" s="57">
        <v>8</v>
      </c>
      <c r="S43" s="55" t="s">
        <v>140</v>
      </c>
      <c r="T43" s="57">
        <v>8192</v>
      </c>
      <c r="U43" s="55">
        <v>163</v>
      </c>
      <c r="V43" s="55">
        <v>3</v>
      </c>
      <c r="W43" s="55">
        <v>1</v>
      </c>
      <c r="X43" s="58">
        <v>105472</v>
      </c>
      <c r="Z43" s="55" t="s">
        <v>311</v>
      </c>
      <c r="AA43" s="55" t="s">
        <v>142</v>
      </c>
      <c r="AD43" s="55" t="b">
        <v>1</v>
      </c>
      <c r="AE43" s="55" t="s">
        <v>666</v>
      </c>
      <c r="AF43" s="55" t="s">
        <v>314</v>
      </c>
      <c r="AG43" s="55" t="s">
        <v>315</v>
      </c>
      <c r="AH43" s="55" t="s">
        <v>654</v>
      </c>
      <c r="AN43" s="55">
        <v>1</v>
      </c>
      <c r="AO43" s="55">
        <v>8192</v>
      </c>
      <c r="AP43" s="55" t="s">
        <v>488</v>
      </c>
      <c r="AQ43" s="55" t="s">
        <v>192</v>
      </c>
      <c r="AR43" s="55" t="s">
        <v>193</v>
      </c>
      <c r="AT43" s="55" t="b">
        <v>1</v>
      </c>
      <c r="AU43" s="55" t="s">
        <v>150</v>
      </c>
      <c r="AW43" s="55" t="s">
        <v>151</v>
      </c>
      <c r="AX43" s="55">
        <v>-1</v>
      </c>
      <c r="AY43" s="55">
        <v>-1</v>
      </c>
      <c r="BA43" s="55">
        <v>113833</v>
      </c>
      <c r="BB43" s="55">
        <v>113833</v>
      </c>
      <c r="BC43" s="55">
        <v>105472</v>
      </c>
      <c r="BD43" s="55" t="s">
        <v>152</v>
      </c>
      <c r="BE43" s="55" t="s">
        <v>153</v>
      </c>
      <c r="BF43" s="55" t="s">
        <v>154</v>
      </c>
      <c r="BI43" s="55" t="b">
        <v>0</v>
      </c>
      <c r="BJ43" s="55">
        <v>0</v>
      </c>
      <c r="BK43" s="55">
        <v>10000</v>
      </c>
      <c r="BL43" s="55" t="b">
        <v>0</v>
      </c>
      <c r="BM43" s="55" t="b">
        <v>0</v>
      </c>
      <c r="BO43" s="55" t="b">
        <v>0</v>
      </c>
      <c r="BP43" s="55" t="s">
        <v>155</v>
      </c>
      <c r="BQ43" s="55">
        <v>19</v>
      </c>
      <c r="BR43" s="55" t="s">
        <v>153</v>
      </c>
      <c r="BS43" s="55" t="s">
        <v>156</v>
      </c>
      <c r="BU43" s="55" t="s">
        <v>667</v>
      </c>
      <c r="BV43" s="55" t="s">
        <v>668</v>
      </c>
      <c r="BW43" s="55" t="s">
        <v>668</v>
      </c>
      <c r="BX43" s="55" t="s">
        <v>668</v>
      </c>
      <c r="BY43" s="55" t="s">
        <v>657</v>
      </c>
      <c r="BZ43" s="55" t="s">
        <v>669</v>
      </c>
      <c r="CA43" s="55" t="s">
        <v>670</v>
      </c>
      <c r="CI43" s="55" t="s">
        <v>161</v>
      </c>
      <c r="CJ43" s="55" t="s">
        <v>323</v>
      </c>
      <c r="CK43" s="55" t="s">
        <v>395</v>
      </c>
      <c r="CL43" s="55" t="s">
        <v>199</v>
      </c>
      <c r="CM43" s="55" t="s">
        <v>199</v>
      </c>
      <c r="CN43" s="55" t="s">
        <v>166</v>
      </c>
      <c r="CP43" s="55" t="s">
        <v>671</v>
      </c>
      <c r="CQ43" s="55" t="s">
        <v>672</v>
      </c>
      <c r="CR43" s="55" t="s">
        <v>673</v>
      </c>
      <c r="CS43" s="55" t="s">
        <v>170</v>
      </c>
      <c r="CT43" s="55" t="s">
        <v>171</v>
      </c>
      <c r="CU43" s="55" t="s">
        <v>172</v>
      </c>
      <c r="CV43" s="55" t="s">
        <v>173</v>
      </c>
    </row>
    <row r="44" spans="1:113">
      <c r="A44" s="55" t="s">
        <v>674</v>
      </c>
      <c r="B44" s="55" t="s">
        <v>675</v>
      </c>
      <c r="C44" s="55" t="s">
        <v>135</v>
      </c>
      <c r="D44" s="55" t="b">
        <v>0</v>
      </c>
      <c r="E44" s="55" t="b">
        <v>0</v>
      </c>
      <c r="F44" s="55" t="s">
        <v>136</v>
      </c>
      <c r="G44" s="55" t="s">
        <v>676</v>
      </c>
      <c r="H44" s="55" t="s">
        <v>138</v>
      </c>
      <c r="I44" s="55" t="s">
        <v>139</v>
      </c>
      <c r="J44" s="55" t="s">
        <v>136</v>
      </c>
      <c r="K44" s="55" t="b">
        <v>0</v>
      </c>
      <c r="L44" s="56">
        <v>45773.912789351853</v>
      </c>
      <c r="O44" s="55">
        <v>0</v>
      </c>
      <c r="P44" s="56">
        <v>45545.513043981482</v>
      </c>
      <c r="Q44" s="56">
        <v>45880.505798611113</v>
      </c>
      <c r="R44" s="57">
        <v>4</v>
      </c>
      <c r="S44" s="55" t="s">
        <v>140</v>
      </c>
      <c r="T44" s="57">
        <v>32768</v>
      </c>
      <c r="U44" s="55">
        <v>1966</v>
      </c>
      <c r="V44" s="55">
        <v>3</v>
      </c>
      <c r="W44" s="55">
        <v>7</v>
      </c>
      <c r="X44" s="58">
        <v>749568</v>
      </c>
      <c r="Z44" s="55" t="s">
        <v>311</v>
      </c>
      <c r="AA44" s="55" t="s">
        <v>142</v>
      </c>
      <c r="AC44" s="55" t="b">
        <v>1</v>
      </c>
      <c r="AD44" s="55" t="b">
        <v>1</v>
      </c>
      <c r="AE44" s="55" t="s">
        <v>677</v>
      </c>
      <c r="AF44" s="55" t="s">
        <v>654</v>
      </c>
      <c r="AG44" s="55" t="s">
        <v>314</v>
      </c>
      <c r="AH44" s="55" t="s">
        <v>315</v>
      </c>
      <c r="AN44" s="55">
        <v>1</v>
      </c>
      <c r="AO44" s="55">
        <v>8192</v>
      </c>
      <c r="AP44" s="55" t="s">
        <v>488</v>
      </c>
      <c r="AQ44" s="55" t="s">
        <v>192</v>
      </c>
      <c r="AR44" s="55" t="s">
        <v>193</v>
      </c>
      <c r="AT44" s="55" t="b">
        <v>1</v>
      </c>
      <c r="AU44" s="55" t="s">
        <v>150</v>
      </c>
      <c r="AW44" s="55" t="s">
        <v>151</v>
      </c>
      <c r="AX44" s="55">
        <v>-1</v>
      </c>
      <c r="AY44" s="55">
        <v>-1</v>
      </c>
      <c r="BA44" s="55">
        <v>782966</v>
      </c>
      <c r="BB44" s="55">
        <v>782966</v>
      </c>
      <c r="BC44" s="55">
        <v>749568</v>
      </c>
      <c r="BD44" s="55" t="s">
        <v>152</v>
      </c>
      <c r="BE44" s="55" t="s">
        <v>153</v>
      </c>
      <c r="BF44" s="55" t="s">
        <v>154</v>
      </c>
      <c r="BI44" s="55" t="b">
        <v>0</v>
      </c>
      <c r="BJ44" s="55">
        <v>0</v>
      </c>
      <c r="BK44" s="55">
        <v>10000</v>
      </c>
      <c r="BL44" s="55" t="b">
        <v>0</v>
      </c>
      <c r="BM44" s="55" t="b">
        <v>0</v>
      </c>
      <c r="BO44" s="55" t="b">
        <v>1</v>
      </c>
      <c r="BP44" s="55" t="s">
        <v>236</v>
      </c>
      <c r="BQ44" s="55">
        <v>19</v>
      </c>
      <c r="BR44" s="55" t="s">
        <v>153</v>
      </c>
      <c r="BS44" s="55" t="s">
        <v>156</v>
      </c>
      <c r="BU44" s="55" t="s">
        <v>678</v>
      </c>
      <c r="BV44" s="55" t="s">
        <v>679</v>
      </c>
      <c r="BW44" s="55" t="s">
        <v>679</v>
      </c>
      <c r="BX44" s="55" t="s">
        <v>679</v>
      </c>
      <c r="BY44" s="55" t="s">
        <v>680</v>
      </c>
      <c r="BZ44" s="55" t="s">
        <v>681</v>
      </c>
      <c r="CA44" s="55" t="s">
        <v>682</v>
      </c>
      <c r="CI44" s="55" t="s">
        <v>161</v>
      </c>
      <c r="CJ44" s="55" t="s">
        <v>323</v>
      </c>
      <c r="CK44" s="55" t="s">
        <v>446</v>
      </c>
      <c r="CL44" s="55" t="s">
        <v>683</v>
      </c>
      <c r="CM44" s="55" t="s">
        <v>255</v>
      </c>
      <c r="CN44" s="55" t="s">
        <v>166</v>
      </c>
      <c r="CP44" s="55" t="s">
        <v>684</v>
      </c>
      <c r="CQ44" s="55" t="s">
        <v>685</v>
      </c>
      <c r="CR44" s="55" t="s">
        <v>686</v>
      </c>
      <c r="CS44" s="55" t="s">
        <v>170</v>
      </c>
      <c r="CT44" s="55" t="s">
        <v>171</v>
      </c>
      <c r="CU44" s="55" t="s">
        <v>172</v>
      </c>
      <c r="CV44" s="55" t="s">
        <v>173</v>
      </c>
    </row>
    <row r="45" spans="1:113">
      <c r="A45" s="55" t="s">
        <v>687</v>
      </c>
      <c r="B45" s="55" t="s">
        <v>688</v>
      </c>
      <c r="C45" s="55" t="s">
        <v>135</v>
      </c>
      <c r="D45" s="55" t="b">
        <v>0</v>
      </c>
      <c r="E45" s="55" t="b">
        <v>0</v>
      </c>
      <c r="F45" s="55" t="s">
        <v>136</v>
      </c>
      <c r="G45" s="55" t="s">
        <v>689</v>
      </c>
      <c r="H45" s="55" t="s">
        <v>138</v>
      </c>
      <c r="I45" s="55" t="s">
        <v>139</v>
      </c>
      <c r="J45" s="55" t="s">
        <v>136</v>
      </c>
      <c r="K45" s="55" t="b">
        <v>0</v>
      </c>
      <c r="L45" s="56">
        <v>45863.499664351853</v>
      </c>
      <c r="O45" s="55">
        <v>0</v>
      </c>
      <c r="P45" s="56">
        <v>45834.447800925933</v>
      </c>
      <c r="Q45" s="56">
        <v>45848.410081018519</v>
      </c>
      <c r="R45" s="57">
        <v>4</v>
      </c>
      <c r="S45" s="55" t="s">
        <v>140</v>
      </c>
      <c r="T45" s="57">
        <v>12288</v>
      </c>
      <c r="U45" s="55">
        <v>737</v>
      </c>
      <c r="V45" s="55">
        <v>3</v>
      </c>
      <c r="W45" s="55">
        <v>3</v>
      </c>
      <c r="X45" s="58">
        <v>330752</v>
      </c>
      <c r="Z45" s="55" t="s">
        <v>311</v>
      </c>
      <c r="AA45" s="55" t="s">
        <v>142</v>
      </c>
      <c r="AC45" s="55" t="b">
        <v>1</v>
      </c>
      <c r="AD45" s="55" t="b">
        <v>1</v>
      </c>
      <c r="AE45" s="55" t="s">
        <v>690</v>
      </c>
      <c r="AF45" s="55" t="s">
        <v>314</v>
      </c>
      <c r="AG45" s="55" t="s">
        <v>654</v>
      </c>
      <c r="AH45" s="55" t="s">
        <v>315</v>
      </c>
      <c r="AN45" s="55">
        <v>1</v>
      </c>
      <c r="AO45" s="55">
        <v>8192</v>
      </c>
      <c r="AP45" s="55" t="s">
        <v>416</v>
      </c>
      <c r="AQ45" s="55" t="s">
        <v>192</v>
      </c>
      <c r="AR45" s="55" t="s">
        <v>193</v>
      </c>
      <c r="AT45" s="55" t="b">
        <v>1</v>
      </c>
      <c r="AU45" s="55" t="s">
        <v>150</v>
      </c>
      <c r="AW45" s="55" t="s">
        <v>151</v>
      </c>
      <c r="AX45" s="55">
        <v>-1</v>
      </c>
      <c r="AY45" s="55">
        <v>-1</v>
      </c>
      <c r="BA45" s="55">
        <v>343229</v>
      </c>
      <c r="BB45" s="55">
        <v>343229</v>
      </c>
      <c r="BC45" s="55">
        <v>330752</v>
      </c>
      <c r="BD45" s="55" t="s">
        <v>152</v>
      </c>
      <c r="BE45" s="55" t="s">
        <v>153</v>
      </c>
      <c r="BF45" s="55" t="s">
        <v>154</v>
      </c>
      <c r="BI45" s="55" t="b">
        <v>0</v>
      </c>
      <c r="BJ45" s="55">
        <v>0</v>
      </c>
      <c r="BK45" s="55">
        <v>10000</v>
      </c>
      <c r="BL45" s="55" t="b">
        <v>0</v>
      </c>
      <c r="BM45" s="55" t="b">
        <v>0</v>
      </c>
      <c r="BO45" s="55" t="b">
        <v>1</v>
      </c>
      <c r="BP45" s="55" t="s">
        <v>236</v>
      </c>
      <c r="BQ45" s="55">
        <v>19</v>
      </c>
      <c r="BR45" s="55" t="s">
        <v>153</v>
      </c>
      <c r="BS45" s="55" t="s">
        <v>156</v>
      </c>
      <c r="BU45" s="55" t="s">
        <v>691</v>
      </c>
      <c r="BV45" s="55" t="s">
        <v>692</v>
      </c>
      <c r="BW45" s="55" t="s">
        <v>692</v>
      </c>
      <c r="BX45" s="55" t="s">
        <v>692</v>
      </c>
      <c r="BY45" s="55" t="s">
        <v>693</v>
      </c>
      <c r="BZ45" s="55" t="s">
        <v>694</v>
      </c>
      <c r="CA45" s="55" t="s">
        <v>695</v>
      </c>
      <c r="CI45" s="55" t="s">
        <v>161</v>
      </c>
      <c r="CJ45" s="55" t="s">
        <v>323</v>
      </c>
      <c r="CK45" s="55" t="s">
        <v>383</v>
      </c>
      <c r="CL45" s="55" t="s">
        <v>255</v>
      </c>
      <c r="CM45" s="55" t="s">
        <v>255</v>
      </c>
      <c r="CN45" s="55" t="s">
        <v>166</v>
      </c>
      <c r="CP45" s="55" t="s">
        <v>696</v>
      </c>
      <c r="CQ45" s="55" t="s">
        <v>697</v>
      </c>
      <c r="CR45" s="55" t="s">
        <v>698</v>
      </c>
      <c r="CS45" s="55" t="s">
        <v>170</v>
      </c>
      <c r="CT45" s="55" t="s">
        <v>171</v>
      </c>
      <c r="CU45" s="55" t="s">
        <v>172</v>
      </c>
      <c r="CV45" s="55" t="s">
        <v>173</v>
      </c>
    </row>
    <row r="46" spans="1:113">
      <c r="A46" s="55" t="s">
        <v>699</v>
      </c>
      <c r="B46" s="55" t="s">
        <v>700</v>
      </c>
      <c r="C46" s="55" t="s">
        <v>135</v>
      </c>
      <c r="D46" s="55" t="b">
        <v>0</v>
      </c>
      <c r="E46" s="55" t="b">
        <v>0</v>
      </c>
      <c r="F46" s="55" t="s">
        <v>136</v>
      </c>
      <c r="H46" s="55" t="s">
        <v>138</v>
      </c>
      <c r="I46" s="55" t="s">
        <v>474</v>
      </c>
      <c r="J46" s="55" t="s">
        <v>151</v>
      </c>
      <c r="K46" s="55" t="b">
        <v>0</v>
      </c>
      <c r="L46" s="56">
        <v>45774.120775462958</v>
      </c>
      <c r="O46" s="55">
        <v>0</v>
      </c>
      <c r="P46" s="56">
        <v>45589.660150462973</v>
      </c>
      <c r="Q46" s="56">
        <v>45789.384166666663</v>
      </c>
      <c r="R46" s="57">
        <v>4</v>
      </c>
      <c r="S46" s="55" t="s">
        <v>140</v>
      </c>
      <c r="T46" s="57">
        <v>20480</v>
      </c>
      <c r="U46" s="55">
        <v>2048</v>
      </c>
      <c r="V46" s="55">
        <v>3</v>
      </c>
      <c r="W46" s="55">
        <v>2</v>
      </c>
      <c r="X46" s="58">
        <v>515072</v>
      </c>
      <c r="Z46" s="55" t="s">
        <v>311</v>
      </c>
      <c r="AA46" s="55" t="s">
        <v>142</v>
      </c>
      <c r="AD46" s="55" t="b">
        <v>1</v>
      </c>
      <c r="AF46" s="55" t="s">
        <v>314</v>
      </c>
      <c r="AG46" s="55" t="s">
        <v>654</v>
      </c>
      <c r="AH46" s="55" t="s">
        <v>315</v>
      </c>
      <c r="AN46" s="55">
        <v>1</v>
      </c>
      <c r="AO46" s="55">
        <v>8192</v>
      </c>
      <c r="AP46" s="55" t="s">
        <v>488</v>
      </c>
      <c r="AQ46" s="55" t="s">
        <v>317</v>
      </c>
      <c r="AR46" s="55" t="s">
        <v>318</v>
      </c>
      <c r="AT46" s="55" t="b">
        <v>1</v>
      </c>
      <c r="AU46" s="55" t="s">
        <v>150</v>
      </c>
      <c r="AW46" s="55" t="s">
        <v>151</v>
      </c>
      <c r="AX46" s="55">
        <v>-1</v>
      </c>
      <c r="AY46" s="55">
        <v>-1</v>
      </c>
      <c r="BA46" s="55">
        <v>535646</v>
      </c>
      <c r="BB46" s="55">
        <v>535646</v>
      </c>
      <c r="BC46" s="55">
        <v>515072</v>
      </c>
      <c r="BD46" s="55" t="s">
        <v>152</v>
      </c>
      <c r="BE46" s="55" t="s">
        <v>153</v>
      </c>
      <c r="BF46" s="55" t="s">
        <v>154</v>
      </c>
      <c r="BI46" s="55" t="b">
        <v>0</v>
      </c>
      <c r="BJ46" s="55">
        <v>0</v>
      </c>
      <c r="BK46" s="55">
        <v>10000</v>
      </c>
      <c r="BL46" s="55" t="b">
        <v>0</v>
      </c>
      <c r="BM46" s="55" t="b">
        <v>0</v>
      </c>
      <c r="BO46" s="55" t="b">
        <v>0</v>
      </c>
      <c r="BP46" s="55" t="s">
        <v>155</v>
      </c>
      <c r="BQ46" s="55">
        <v>19</v>
      </c>
      <c r="BR46" s="55" t="s">
        <v>153</v>
      </c>
      <c r="BS46" s="55" t="s">
        <v>156</v>
      </c>
      <c r="BU46" s="55" t="s">
        <v>701</v>
      </c>
      <c r="BV46" s="55" t="s">
        <v>702</v>
      </c>
      <c r="BW46" s="55" t="s">
        <v>702</v>
      </c>
      <c r="BX46" s="55" t="s">
        <v>702</v>
      </c>
      <c r="BZ46" s="55" t="s">
        <v>703</v>
      </c>
      <c r="CA46" s="55" t="s">
        <v>704</v>
      </c>
      <c r="CI46" s="55" t="s">
        <v>161</v>
      </c>
      <c r="CJ46" s="55" t="s">
        <v>323</v>
      </c>
      <c r="CK46" s="55" t="s">
        <v>383</v>
      </c>
      <c r="CL46" s="55" t="s">
        <v>227</v>
      </c>
      <c r="CM46" s="55" t="s">
        <v>227</v>
      </c>
      <c r="CP46" s="55" t="s">
        <v>705</v>
      </c>
      <c r="CQ46" s="55" t="s">
        <v>706</v>
      </c>
      <c r="CR46" s="55" t="s">
        <v>707</v>
      </c>
      <c r="CS46" s="55" t="s">
        <v>170</v>
      </c>
      <c r="CT46" s="55" t="s">
        <v>171</v>
      </c>
      <c r="CU46" s="55" t="s">
        <v>172</v>
      </c>
      <c r="CV46" s="55" t="s">
        <v>173</v>
      </c>
    </row>
    <row r="47" spans="1:113" s="49" customFormat="1">
      <c r="A47" s="55" t="s">
        <v>708</v>
      </c>
      <c r="B47" s="55" t="s">
        <v>709</v>
      </c>
      <c r="C47" s="55" t="s">
        <v>135</v>
      </c>
      <c r="D47" s="55" t="b">
        <v>0</v>
      </c>
      <c r="E47" s="55" t="b">
        <v>0</v>
      </c>
      <c r="F47" s="55" t="s">
        <v>136</v>
      </c>
      <c r="G47" s="55" t="s">
        <v>710</v>
      </c>
      <c r="H47" s="55" t="s">
        <v>138</v>
      </c>
      <c r="I47" s="55" t="s">
        <v>139</v>
      </c>
      <c r="J47" s="55" t="s">
        <v>711</v>
      </c>
      <c r="K47" s="55" t="b">
        <v>0</v>
      </c>
      <c r="L47" s="56">
        <v>45901.679409722223</v>
      </c>
      <c r="M47" s="55"/>
      <c r="N47" s="55"/>
      <c r="O47" s="55">
        <v>0</v>
      </c>
      <c r="P47" s="56">
        <v>45896.551944444444</v>
      </c>
      <c r="Q47" s="56">
        <v>45899.259351851862</v>
      </c>
      <c r="R47" s="57">
        <v>4</v>
      </c>
      <c r="S47" s="55" t="s">
        <v>140</v>
      </c>
      <c r="T47" s="57">
        <v>8192</v>
      </c>
      <c r="U47" s="55">
        <v>81</v>
      </c>
      <c r="V47" s="55">
        <v>3</v>
      </c>
      <c r="W47" s="55">
        <v>2</v>
      </c>
      <c r="X47" s="58">
        <v>327680</v>
      </c>
      <c r="Y47" s="55"/>
      <c r="Z47" s="55" t="s">
        <v>311</v>
      </c>
      <c r="AA47" s="55" t="s">
        <v>142</v>
      </c>
      <c r="AB47" s="55"/>
      <c r="AC47" s="55"/>
      <c r="AD47" s="55"/>
      <c r="AE47" s="55" t="s">
        <v>712</v>
      </c>
      <c r="AF47" s="55" t="s">
        <v>713</v>
      </c>
      <c r="AG47" s="55" t="s">
        <v>654</v>
      </c>
      <c r="AH47" s="55" t="s">
        <v>714</v>
      </c>
      <c r="AI47" s="55"/>
      <c r="AJ47" s="55"/>
      <c r="AK47" s="55"/>
      <c r="AL47" s="55"/>
      <c r="AM47" s="55"/>
      <c r="AN47" s="55">
        <v>1</v>
      </c>
      <c r="AO47" s="55">
        <v>8192</v>
      </c>
      <c r="AP47" s="55" t="s">
        <v>316</v>
      </c>
      <c r="AQ47" s="55" t="s">
        <v>317</v>
      </c>
      <c r="AR47" s="55" t="s">
        <v>318</v>
      </c>
      <c r="AS47" s="55"/>
      <c r="AT47" s="55" t="b">
        <v>1</v>
      </c>
      <c r="AU47" s="55" t="s">
        <v>150</v>
      </c>
      <c r="AV47" s="55"/>
      <c r="AW47" s="55" t="s">
        <v>151</v>
      </c>
      <c r="AX47" s="55">
        <v>-1</v>
      </c>
      <c r="AY47" s="55">
        <v>-1</v>
      </c>
      <c r="AZ47" s="55"/>
      <c r="BA47" s="55">
        <v>335955</v>
      </c>
      <c r="BB47" s="55">
        <v>335955</v>
      </c>
      <c r="BC47" s="55">
        <v>327680</v>
      </c>
      <c r="BD47" s="55" t="s">
        <v>152</v>
      </c>
      <c r="BE47" s="55" t="s">
        <v>153</v>
      </c>
      <c r="BF47" s="55" t="s">
        <v>154</v>
      </c>
      <c r="BG47" s="55"/>
      <c r="BH47" s="55"/>
      <c r="BI47" s="55" t="b">
        <v>0</v>
      </c>
      <c r="BJ47" s="55">
        <v>0</v>
      </c>
      <c r="BK47" s="55">
        <v>10000</v>
      </c>
      <c r="BL47" s="55" t="b">
        <v>0</v>
      </c>
      <c r="BM47" s="55" t="b">
        <v>0</v>
      </c>
      <c r="BN47" s="55"/>
      <c r="BO47" s="55" t="b">
        <v>0</v>
      </c>
      <c r="BP47" s="55" t="s">
        <v>155</v>
      </c>
      <c r="BQ47" s="55">
        <v>19</v>
      </c>
      <c r="BR47" s="55" t="s">
        <v>153</v>
      </c>
      <c r="BS47" s="55" t="s">
        <v>156</v>
      </c>
      <c r="BT47" s="55"/>
      <c r="BU47" s="55" t="s">
        <v>715</v>
      </c>
      <c r="BV47" s="55" t="s">
        <v>716</v>
      </c>
      <c r="BW47" s="55" t="s">
        <v>716</v>
      </c>
      <c r="BX47" s="55" t="s">
        <v>716</v>
      </c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 t="s">
        <v>161</v>
      </c>
      <c r="CJ47" s="55" t="s">
        <v>323</v>
      </c>
      <c r="CK47" s="55" t="s">
        <v>717</v>
      </c>
      <c r="CL47" s="55" t="s">
        <v>479</v>
      </c>
      <c r="CM47" s="55" t="s">
        <v>479</v>
      </c>
      <c r="CN47" s="55" t="s">
        <v>166</v>
      </c>
      <c r="CO47" s="55"/>
      <c r="CP47" s="55" t="s">
        <v>718</v>
      </c>
      <c r="CQ47" s="55" t="s">
        <v>719</v>
      </c>
      <c r="CR47" s="55" t="s">
        <v>720</v>
      </c>
      <c r="CS47" s="55" t="s">
        <v>170</v>
      </c>
      <c r="CT47" s="55" t="s">
        <v>171</v>
      </c>
      <c r="CU47" s="55" t="s">
        <v>172</v>
      </c>
      <c r="CV47" s="55" t="s">
        <v>173</v>
      </c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</row>
    <row r="48" spans="1:113">
      <c r="A48" s="55" t="s">
        <v>721</v>
      </c>
      <c r="B48" s="55" t="s">
        <v>722</v>
      </c>
      <c r="C48" s="55" t="s">
        <v>135</v>
      </c>
      <c r="D48" s="55" t="b">
        <v>0</v>
      </c>
      <c r="E48" s="55" t="b">
        <v>0</v>
      </c>
      <c r="F48" s="55" t="s">
        <v>136</v>
      </c>
      <c r="G48" s="55" t="s">
        <v>723</v>
      </c>
      <c r="H48" s="55" t="s">
        <v>138</v>
      </c>
      <c r="I48" s="55" t="s">
        <v>139</v>
      </c>
      <c r="J48" s="55" t="s">
        <v>151</v>
      </c>
      <c r="K48" s="55" t="b">
        <v>0</v>
      </c>
      <c r="L48" s="56">
        <v>45898.843831018523</v>
      </c>
      <c r="O48" s="55">
        <v>0</v>
      </c>
      <c r="P48" s="56">
        <v>45896.55023148148</v>
      </c>
      <c r="Q48" s="56">
        <v>45899.25577546296</v>
      </c>
      <c r="R48" s="57">
        <v>4</v>
      </c>
      <c r="S48" s="55" t="s">
        <v>140</v>
      </c>
      <c r="T48" s="57">
        <v>8192</v>
      </c>
      <c r="U48" s="55">
        <v>163</v>
      </c>
      <c r="V48" s="55">
        <v>3</v>
      </c>
      <c r="W48" s="55">
        <v>2</v>
      </c>
      <c r="X48" s="58">
        <v>327680</v>
      </c>
      <c r="Z48" s="55" t="s">
        <v>311</v>
      </c>
      <c r="AA48" s="55" t="s">
        <v>142</v>
      </c>
      <c r="AE48" s="55" t="s">
        <v>724</v>
      </c>
      <c r="AF48" s="55" t="s">
        <v>713</v>
      </c>
      <c r="AG48" s="55" t="s">
        <v>654</v>
      </c>
      <c r="AH48" s="55" t="s">
        <v>714</v>
      </c>
      <c r="AN48" s="55">
        <v>1</v>
      </c>
      <c r="AO48" s="55">
        <v>8192</v>
      </c>
      <c r="AP48" s="55" t="s">
        <v>316</v>
      </c>
      <c r="AQ48" s="55" t="s">
        <v>317</v>
      </c>
      <c r="AR48" s="55" t="s">
        <v>318</v>
      </c>
      <c r="AT48" s="55" t="b">
        <v>1</v>
      </c>
      <c r="AU48" s="55" t="s">
        <v>150</v>
      </c>
      <c r="AW48" s="55" t="s">
        <v>151</v>
      </c>
      <c r="AX48" s="55">
        <v>-1</v>
      </c>
      <c r="AY48" s="55">
        <v>-1</v>
      </c>
      <c r="BA48" s="55">
        <v>335955</v>
      </c>
      <c r="BB48" s="55">
        <v>335955</v>
      </c>
      <c r="BC48" s="55">
        <v>327680</v>
      </c>
      <c r="BD48" s="55" t="s">
        <v>152</v>
      </c>
      <c r="BE48" s="55" t="s">
        <v>153</v>
      </c>
      <c r="BF48" s="55" t="s">
        <v>154</v>
      </c>
      <c r="BI48" s="55" t="b">
        <v>0</v>
      </c>
      <c r="BJ48" s="55">
        <v>0</v>
      </c>
      <c r="BK48" s="55">
        <v>10000</v>
      </c>
      <c r="BL48" s="55" t="b">
        <v>0</v>
      </c>
      <c r="BM48" s="55" t="b">
        <v>0</v>
      </c>
      <c r="BO48" s="55" t="b">
        <v>0</v>
      </c>
      <c r="BP48" s="55" t="s">
        <v>155</v>
      </c>
      <c r="BQ48" s="55">
        <v>19</v>
      </c>
      <c r="BR48" s="55" t="s">
        <v>153</v>
      </c>
      <c r="BS48" s="55" t="s">
        <v>156</v>
      </c>
      <c r="BU48" s="55" t="s">
        <v>725</v>
      </c>
      <c r="BV48" s="55" t="s">
        <v>726</v>
      </c>
      <c r="BW48" s="55" t="s">
        <v>726</v>
      </c>
      <c r="BX48" s="55" t="s">
        <v>726</v>
      </c>
      <c r="CI48" s="55" t="s">
        <v>161</v>
      </c>
      <c r="CJ48" s="55" t="s">
        <v>323</v>
      </c>
      <c r="CK48" s="55" t="s">
        <v>717</v>
      </c>
      <c r="CL48" s="55" t="s">
        <v>479</v>
      </c>
      <c r="CM48" s="55" t="s">
        <v>479</v>
      </c>
      <c r="CN48" s="55" t="s">
        <v>166</v>
      </c>
      <c r="CP48" s="55" t="s">
        <v>727</v>
      </c>
      <c r="CQ48" s="55" t="s">
        <v>728</v>
      </c>
      <c r="CR48" s="55" t="s">
        <v>729</v>
      </c>
      <c r="CS48" s="55" t="s">
        <v>170</v>
      </c>
      <c r="CT48" s="55" t="s">
        <v>171</v>
      </c>
      <c r="CU48" s="55" t="s">
        <v>172</v>
      </c>
      <c r="CV48" s="55" t="s">
        <v>173</v>
      </c>
    </row>
    <row r="49" spans="1:113">
      <c r="A49" s="49" t="s">
        <v>730</v>
      </c>
      <c r="B49" s="49" t="s">
        <v>731</v>
      </c>
      <c r="C49" s="49" t="s">
        <v>732</v>
      </c>
      <c r="D49" s="49" t="b">
        <v>0</v>
      </c>
      <c r="E49" s="49" t="b">
        <v>0</v>
      </c>
      <c r="F49" s="49" t="s">
        <v>136</v>
      </c>
      <c r="G49" s="49" t="s">
        <v>733</v>
      </c>
      <c r="H49" s="49" t="s">
        <v>138</v>
      </c>
      <c r="I49" s="49" t="s">
        <v>474</v>
      </c>
      <c r="J49" s="49" t="s">
        <v>151</v>
      </c>
      <c r="K49" s="49" t="b">
        <v>0</v>
      </c>
      <c r="L49" s="49"/>
      <c r="M49" s="49"/>
      <c r="N49" s="49"/>
      <c r="O49" s="49">
        <v>0</v>
      </c>
      <c r="P49" s="50">
        <v>45694.631064814806</v>
      </c>
      <c r="Q49" s="50">
        <v>45887.703888888893</v>
      </c>
      <c r="R49" s="51">
        <v>8</v>
      </c>
      <c r="S49" s="49"/>
      <c r="T49" s="51">
        <v>16384</v>
      </c>
      <c r="U49" s="49">
        <v>0</v>
      </c>
      <c r="V49" s="49">
        <v>3</v>
      </c>
      <c r="W49" s="49">
        <v>2</v>
      </c>
      <c r="X49" s="52">
        <v>563200</v>
      </c>
      <c r="Y49" s="49"/>
      <c r="Z49" s="49"/>
      <c r="AA49" s="49" t="s">
        <v>142</v>
      </c>
      <c r="AB49" s="49"/>
      <c r="AC49" s="49"/>
      <c r="AD49" s="49"/>
      <c r="AE49" s="49"/>
      <c r="AF49" s="49" t="s">
        <v>654</v>
      </c>
      <c r="AG49" s="49" t="s">
        <v>314</v>
      </c>
      <c r="AH49" s="49" t="s">
        <v>714</v>
      </c>
      <c r="AI49" s="49"/>
      <c r="AJ49" s="49"/>
      <c r="AK49" s="49"/>
      <c r="AL49" s="49"/>
      <c r="AM49" s="49"/>
      <c r="AN49" s="49">
        <v>1</v>
      </c>
      <c r="AO49" s="49">
        <v>8192</v>
      </c>
      <c r="AP49" s="49" t="s">
        <v>316</v>
      </c>
      <c r="AQ49" s="49" t="s">
        <v>317</v>
      </c>
      <c r="AR49" s="49" t="s">
        <v>318</v>
      </c>
      <c r="AS49" s="49"/>
      <c r="AT49" s="49"/>
      <c r="AU49" s="49" t="s">
        <v>150</v>
      </c>
      <c r="AV49" s="49"/>
      <c r="AW49" s="49" t="s">
        <v>151</v>
      </c>
      <c r="AX49" s="49">
        <v>-1</v>
      </c>
      <c r="AY49" s="49">
        <v>-1</v>
      </c>
      <c r="AZ49" s="49"/>
      <c r="BA49" s="49">
        <v>579808</v>
      </c>
      <c r="BB49" s="49">
        <v>563201</v>
      </c>
      <c r="BC49" s="49">
        <v>563200</v>
      </c>
      <c r="BD49" s="49" t="s">
        <v>152</v>
      </c>
      <c r="BE49" s="49" t="s">
        <v>153</v>
      </c>
      <c r="BF49" s="49" t="s">
        <v>154</v>
      </c>
      <c r="BG49" s="49"/>
      <c r="BH49" s="49"/>
      <c r="BI49" s="49" t="b">
        <v>0</v>
      </c>
      <c r="BJ49" s="49">
        <v>0</v>
      </c>
      <c r="BK49" s="49">
        <v>10000</v>
      </c>
      <c r="BL49" s="49" t="b">
        <v>0</v>
      </c>
      <c r="BM49" s="49" t="b">
        <v>0</v>
      </c>
      <c r="BN49" s="49"/>
      <c r="BO49" s="49" t="b">
        <v>0</v>
      </c>
      <c r="BP49" s="49" t="s">
        <v>155</v>
      </c>
      <c r="BQ49" s="49">
        <v>19</v>
      </c>
      <c r="BR49" s="49" t="s">
        <v>153</v>
      </c>
      <c r="BS49" s="49" t="s">
        <v>156</v>
      </c>
      <c r="BT49" s="49"/>
      <c r="BU49" s="49" t="s">
        <v>734</v>
      </c>
      <c r="BV49" s="49" t="s">
        <v>735</v>
      </c>
      <c r="BW49" s="49" t="s">
        <v>735</v>
      </c>
      <c r="BX49" s="49" t="s">
        <v>735</v>
      </c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 t="s">
        <v>161</v>
      </c>
      <c r="CJ49" s="49" t="s">
        <v>323</v>
      </c>
      <c r="CK49" s="49" t="s">
        <v>446</v>
      </c>
      <c r="CL49" s="49" t="s">
        <v>736</v>
      </c>
      <c r="CM49" s="49"/>
      <c r="CN49" s="49"/>
      <c r="CO49" s="49"/>
      <c r="CP49" s="49" t="s">
        <v>737</v>
      </c>
      <c r="CQ49" s="49" t="s">
        <v>738</v>
      </c>
      <c r="CR49" s="49" t="s">
        <v>739</v>
      </c>
      <c r="CS49" s="49" t="s">
        <v>170</v>
      </c>
      <c r="CT49" s="49" t="s">
        <v>171</v>
      </c>
      <c r="CU49" s="49" t="s">
        <v>172</v>
      </c>
      <c r="CV49" s="49" t="s">
        <v>173</v>
      </c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</row>
    <row r="50" spans="1:113">
      <c r="A50" s="55" t="s">
        <v>740</v>
      </c>
      <c r="B50" s="55" t="s">
        <v>741</v>
      </c>
      <c r="C50" s="55" t="s">
        <v>135</v>
      </c>
      <c r="D50" s="55" t="b">
        <v>0</v>
      </c>
      <c r="E50" s="55" t="b">
        <v>0</v>
      </c>
      <c r="F50" s="55" t="s">
        <v>136</v>
      </c>
      <c r="G50" s="55" t="s">
        <v>742</v>
      </c>
      <c r="H50" s="55" t="s">
        <v>138</v>
      </c>
      <c r="I50" s="55" t="s">
        <v>139</v>
      </c>
      <c r="J50" s="55" t="s">
        <v>136</v>
      </c>
      <c r="K50" s="55" t="b">
        <v>0</v>
      </c>
      <c r="L50" s="56">
        <v>45863.011284722219</v>
      </c>
      <c r="O50" s="55">
        <v>0</v>
      </c>
      <c r="P50" s="56">
        <v>45749.477986111109</v>
      </c>
      <c r="Q50" s="56">
        <v>45847.993796296287</v>
      </c>
      <c r="R50" s="57">
        <v>6</v>
      </c>
      <c r="S50" s="55" t="s">
        <v>140</v>
      </c>
      <c r="T50" s="57">
        <v>32768</v>
      </c>
      <c r="U50" s="55">
        <v>655</v>
      </c>
      <c r="V50" s="55">
        <v>3</v>
      </c>
      <c r="W50" s="55">
        <v>3</v>
      </c>
      <c r="X50" s="58">
        <v>286720</v>
      </c>
      <c r="Z50" s="55" t="s">
        <v>311</v>
      </c>
      <c r="AA50" s="55" t="s">
        <v>142</v>
      </c>
      <c r="AC50" s="55" t="b">
        <v>1</v>
      </c>
      <c r="AD50" s="55" t="b">
        <v>1</v>
      </c>
      <c r="AE50" s="55" t="s">
        <v>743</v>
      </c>
      <c r="AF50" s="55" t="s">
        <v>314</v>
      </c>
      <c r="AG50" s="55" t="s">
        <v>475</v>
      </c>
      <c r="AH50" s="55" t="s">
        <v>714</v>
      </c>
      <c r="AN50" s="55">
        <v>1</v>
      </c>
      <c r="AO50" s="55">
        <v>8192</v>
      </c>
      <c r="AP50" s="55" t="s">
        <v>416</v>
      </c>
      <c r="AQ50" s="55" t="s">
        <v>192</v>
      </c>
      <c r="AR50" s="55" t="s">
        <v>193</v>
      </c>
      <c r="AT50" s="55" t="b">
        <v>1</v>
      </c>
      <c r="AU50" s="55" t="s">
        <v>150</v>
      </c>
      <c r="AW50" s="55" t="s">
        <v>151</v>
      </c>
      <c r="AX50" s="55">
        <v>-1</v>
      </c>
      <c r="AY50" s="55">
        <v>-1</v>
      </c>
      <c r="BA50" s="55">
        <v>319780</v>
      </c>
      <c r="BB50" s="55">
        <v>319780</v>
      </c>
      <c r="BC50" s="55">
        <v>286720</v>
      </c>
      <c r="BD50" s="55" t="s">
        <v>152</v>
      </c>
      <c r="BE50" s="55" t="s">
        <v>153</v>
      </c>
      <c r="BF50" s="55" t="s">
        <v>154</v>
      </c>
      <c r="BI50" s="55" t="b">
        <v>0</v>
      </c>
      <c r="BJ50" s="55">
        <v>0</v>
      </c>
      <c r="BK50" s="55">
        <v>10000</v>
      </c>
      <c r="BL50" s="55" t="b">
        <v>0</v>
      </c>
      <c r="BM50" s="55" t="b">
        <v>0</v>
      </c>
      <c r="BO50" s="55" t="b">
        <v>1</v>
      </c>
      <c r="BP50" s="55" t="s">
        <v>236</v>
      </c>
      <c r="BQ50" s="55">
        <v>19</v>
      </c>
      <c r="BR50" s="55" t="s">
        <v>153</v>
      </c>
      <c r="BS50" s="55" t="s">
        <v>156</v>
      </c>
      <c r="BU50" s="55" t="s">
        <v>744</v>
      </c>
      <c r="BV50" s="55" t="s">
        <v>745</v>
      </c>
      <c r="BW50" s="55" t="s">
        <v>745</v>
      </c>
      <c r="BX50" s="55" t="s">
        <v>745</v>
      </c>
      <c r="BY50" s="55" t="s">
        <v>746</v>
      </c>
      <c r="BZ50" s="55" t="s">
        <v>747</v>
      </c>
      <c r="CA50" s="55" t="s">
        <v>748</v>
      </c>
      <c r="CI50" s="55" t="s">
        <v>161</v>
      </c>
      <c r="CJ50" s="55" t="s">
        <v>323</v>
      </c>
      <c r="CK50" s="55" t="s">
        <v>625</v>
      </c>
      <c r="CL50" s="55" t="s">
        <v>683</v>
      </c>
      <c r="CM50" s="55" t="s">
        <v>683</v>
      </c>
      <c r="CP50" s="55" t="s">
        <v>749</v>
      </c>
      <c r="CQ50" s="55" t="s">
        <v>750</v>
      </c>
      <c r="CR50" s="55" t="s">
        <v>751</v>
      </c>
      <c r="CS50" s="55" t="s">
        <v>170</v>
      </c>
      <c r="CT50" s="55" t="s">
        <v>171</v>
      </c>
      <c r="CU50" s="55" t="s">
        <v>172</v>
      </c>
      <c r="CV50" s="55" t="s">
        <v>173</v>
      </c>
    </row>
    <row r="51" spans="1:113">
      <c r="A51" s="55" t="s">
        <v>752</v>
      </c>
      <c r="B51" s="55" t="s">
        <v>753</v>
      </c>
      <c r="C51" s="55" t="s">
        <v>135</v>
      </c>
      <c r="D51" s="55" t="b">
        <v>0</v>
      </c>
      <c r="E51" s="55" t="b">
        <v>0</v>
      </c>
      <c r="F51" s="55" t="s">
        <v>136</v>
      </c>
      <c r="G51" s="55" t="s">
        <v>754</v>
      </c>
      <c r="H51" s="55" t="s">
        <v>138</v>
      </c>
      <c r="I51" s="55" t="s">
        <v>139</v>
      </c>
      <c r="J51" s="55" t="s">
        <v>136</v>
      </c>
      <c r="K51" s="55" t="b">
        <v>0</v>
      </c>
      <c r="L51" s="56">
        <v>45845.376840277779</v>
      </c>
      <c r="O51" s="55">
        <v>0</v>
      </c>
      <c r="P51" s="56">
        <v>45749.487453703703</v>
      </c>
      <c r="Q51" s="56">
        <v>45862.949548611112</v>
      </c>
      <c r="R51" s="57">
        <v>4</v>
      </c>
      <c r="S51" s="55" t="s">
        <v>140</v>
      </c>
      <c r="T51" s="57">
        <v>8192</v>
      </c>
      <c r="U51" s="55">
        <v>737</v>
      </c>
      <c r="V51" s="55">
        <v>3</v>
      </c>
      <c r="W51" s="55">
        <v>3</v>
      </c>
      <c r="X51" s="58">
        <v>276480</v>
      </c>
      <c r="Z51" s="55" t="s">
        <v>311</v>
      </c>
      <c r="AA51" s="55" t="s">
        <v>142</v>
      </c>
      <c r="AC51" s="55" t="b">
        <v>1</v>
      </c>
      <c r="AD51" s="55" t="b">
        <v>1</v>
      </c>
      <c r="AE51" s="55" t="s">
        <v>755</v>
      </c>
      <c r="AF51" s="55" t="s">
        <v>314</v>
      </c>
      <c r="AG51" s="55" t="s">
        <v>654</v>
      </c>
      <c r="AH51" s="55" t="s">
        <v>714</v>
      </c>
      <c r="AN51" s="55">
        <v>1</v>
      </c>
      <c r="AO51" s="55">
        <v>8192</v>
      </c>
      <c r="AP51" s="55" t="s">
        <v>416</v>
      </c>
      <c r="AQ51" s="55" t="s">
        <v>192</v>
      </c>
      <c r="AR51" s="55" t="s">
        <v>193</v>
      </c>
      <c r="AT51" s="55" t="b">
        <v>1</v>
      </c>
      <c r="AU51" s="55" t="s">
        <v>150</v>
      </c>
      <c r="AW51" s="55" t="s">
        <v>151</v>
      </c>
      <c r="AX51" s="55">
        <v>-1</v>
      </c>
      <c r="AY51" s="55">
        <v>-1</v>
      </c>
      <c r="BA51" s="55">
        <v>284977</v>
      </c>
      <c r="BB51" s="55">
        <v>284977</v>
      </c>
      <c r="BC51" s="55">
        <v>276480</v>
      </c>
      <c r="BD51" s="55" t="s">
        <v>152</v>
      </c>
      <c r="BE51" s="55" t="s">
        <v>153</v>
      </c>
      <c r="BF51" s="55" t="s">
        <v>154</v>
      </c>
      <c r="BI51" s="55" t="b">
        <v>0</v>
      </c>
      <c r="BJ51" s="55">
        <v>0</v>
      </c>
      <c r="BK51" s="55">
        <v>10000</v>
      </c>
      <c r="BL51" s="55" t="b">
        <v>0</v>
      </c>
      <c r="BM51" s="55" t="b">
        <v>0</v>
      </c>
      <c r="BO51" s="55" t="b">
        <v>1</v>
      </c>
      <c r="BP51" s="55" t="s">
        <v>236</v>
      </c>
      <c r="BQ51" s="55">
        <v>19</v>
      </c>
      <c r="BR51" s="55" t="s">
        <v>153</v>
      </c>
      <c r="BS51" s="55" t="s">
        <v>156</v>
      </c>
      <c r="BU51" s="55" t="s">
        <v>756</v>
      </c>
      <c r="BV51" s="55" t="s">
        <v>757</v>
      </c>
      <c r="BW51" s="55" t="s">
        <v>757</v>
      </c>
      <c r="BX51" s="55" t="s">
        <v>757</v>
      </c>
      <c r="BY51" s="55" t="s">
        <v>746</v>
      </c>
      <c r="BZ51" s="55" t="s">
        <v>758</v>
      </c>
      <c r="CA51" s="55" t="s">
        <v>759</v>
      </c>
      <c r="CI51" s="55" t="s">
        <v>161</v>
      </c>
      <c r="CJ51" s="55" t="s">
        <v>323</v>
      </c>
      <c r="CK51" s="55" t="s">
        <v>395</v>
      </c>
      <c r="CL51" s="55" t="s">
        <v>683</v>
      </c>
      <c r="CM51" s="55" t="s">
        <v>255</v>
      </c>
      <c r="CN51" s="55" t="s">
        <v>166</v>
      </c>
      <c r="CP51" s="55" t="s">
        <v>760</v>
      </c>
      <c r="CQ51" s="55" t="s">
        <v>761</v>
      </c>
      <c r="CR51" s="55" t="s">
        <v>762</v>
      </c>
      <c r="CS51" s="55" t="s">
        <v>170</v>
      </c>
      <c r="CT51" s="55" t="s">
        <v>171</v>
      </c>
      <c r="CU51" s="55" t="s">
        <v>172</v>
      </c>
      <c r="CV51" s="55" t="s">
        <v>173</v>
      </c>
    </row>
    <row r="52" spans="1:113">
      <c r="A52" s="55" t="s">
        <v>763</v>
      </c>
      <c r="B52" s="55" t="s">
        <v>764</v>
      </c>
      <c r="C52" s="55" t="s">
        <v>135</v>
      </c>
      <c r="D52" s="55" t="b">
        <v>0</v>
      </c>
      <c r="E52" s="55" t="b">
        <v>0</v>
      </c>
      <c r="F52" s="55" t="s">
        <v>136</v>
      </c>
      <c r="G52" s="55" t="s">
        <v>765</v>
      </c>
      <c r="H52" s="55" t="s">
        <v>138</v>
      </c>
      <c r="I52" s="55" t="s">
        <v>139</v>
      </c>
      <c r="J52" s="55" t="s">
        <v>136</v>
      </c>
      <c r="K52" s="55" t="b">
        <v>0</v>
      </c>
      <c r="L52" s="56">
        <v>45774.942025462973</v>
      </c>
      <c r="O52" s="55">
        <v>0</v>
      </c>
      <c r="P52" s="56">
        <v>45749.498368055552</v>
      </c>
      <c r="Q52" s="56">
        <v>45796.735543981478</v>
      </c>
      <c r="R52" s="57">
        <v>4</v>
      </c>
      <c r="S52" s="55" t="s">
        <v>140</v>
      </c>
      <c r="T52" s="57">
        <v>16384</v>
      </c>
      <c r="U52" s="55">
        <v>819</v>
      </c>
      <c r="V52" s="55">
        <v>3</v>
      </c>
      <c r="W52" s="55">
        <v>3</v>
      </c>
      <c r="X52" s="58">
        <v>245760</v>
      </c>
      <c r="Z52" s="55" t="s">
        <v>311</v>
      </c>
      <c r="AA52" s="55" t="s">
        <v>142</v>
      </c>
      <c r="AC52" s="55" t="b">
        <v>1</v>
      </c>
      <c r="AD52" s="55" t="b">
        <v>1</v>
      </c>
      <c r="AE52" s="55" t="s">
        <v>766</v>
      </c>
      <c r="AF52" s="55" t="s">
        <v>314</v>
      </c>
      <c r="AG52" s="55" t="s">
        <v>654</v>
      </c>
      <c r="AH52" s="55" t="s">
        <v>714</v>
      </c>
      <c r="AN52" s="55">
        <v>1</v>
      </c>
      <c r="AO52" s="55">
        <v>8192</v>
      </c>
      <c r="AP52" s="55" t="s">
        <v>416</v>
      </c>
      <c r="AQ52" s="55" t="s">
        <v>192</v>
      </c>
      <c r="AR52" s="55" t="s">
        <v>193</v>
      </c>
      <c r="AT52" s="55" t="b">
        <v>1</v>
      </c>
      <c r="AU52" s="55" t="s">
        <v>150</v>
      </c>
      <c r="AW52" s="55" t="s">
        <v>151</v>
      </c>
      <c r="AX52" s="55">
        <v>-1</v>
      </c>
      <c r="AY52" s="55">
        <v>-1</v>
      </c>
      <c r="BA52" s="55">
        <v>262466</v>
      </c>
      <c r="BB52" s="55">
        <v>262466</v>
      </c>
      <c r="BC52" s="55">
        <v>245760</v>
      </c>
      <c r="BD52" s="55" t="s">
        <v>152</v>
      </c>
      <c r="BE52" s="55" t="s">
        <v>153</v>
      </c>
      <c r="BF52" s="55" t="s">
        <v>154</v>
      </c>
      <c r="BI52" s="55" t="b">
        <v>0</v>
      </c>
      <c r="BJ52" s="55">
        <v>0</v>
      </c>
      <c r="BK52" s="55">
        <v>10000</v>
      </c>
      <c r="BL52" s="55" t="b">
        <v>0</v>
      </c>
      <c r="BM52" s="55" t="b">
        <v>0</v>
      </c>
      <c r="BO52" s="55" t="b">
        <v>1</v>
      </c>
      <c r="BP52" s="55" t="s">
        <v>236</v>
      </c>
      <c r="BQ52" s="55">
        <v>19</v>
      </c>
      <c r="BR52" s="55" t="s">
        <v>153</v>
      </c>
      <c r="BS52" s="55" t="s">
        <v>156</v>
      </c>
      <c r="BU52" s="55" t="s">
        <v>767</v>
      </c>
      <c r="BV52" s="55" t="s">
        <v>768</v>
      </c>
      <c r="BW52" s="55" t="s">
        <v>768</v>
      </c>
      <c r="BX52" s="55" t="s">
        <v>768</v>
      </c>
      <c r="BY52" s="55" t="s">
        <v>746</v>
      </c>
      <c r="BZ52" s="55" t="s">
        <v>769</v>
      </c>
      <c r="CA52" s="55" t="s">
        <v>770</v>
      </c>
      <c r="CI52" s="55" t="s">
        <v>161</v>
      </c>
      <c r="CJ52" s="55" t="s">
        <v>323</v>
      </c>
      <c r="CK52" s="55" t="s">
        <v>625</v>
      </c>
      <c r="CL52" s="55" t="s">
        <v>683</v>
      </c>
      <c r="CM52" s="55" t="s">
        <v>255</v>
      </c>
      <c r="CN52" s="55" t="s">
        <v>166</v>
      </c>
      <c r="CP52" s="55" t="s">
        <v>771</v>
      </c>
      <c r="CQ52" s="55" t="s">
        <v>772</v>
      </c>
      <c r="CR52" s="55" t="s">
        <v>773</v>
      </c>
      <c r="CS52" s="55" t="s">
        <v>170</v>
      </c>
      <c r="CT52" s="55" t="s">
        <v>171</v>
      </c>
      <c r="CU52" s="55" t="s">
        <v>172</v>
      </c>
      <c r="CV52" s="55" t="s">
        <v>173</v>
      </c>
    </row>
    <row r="53" spans="1:113">
      <c r="A53" s="55" t="s">
        <v>774</v>
      </c>
      <c r="B53" s="55" t="s">
        <v>775</v>
      </c>
      <c r="C53" s="55" t="s">
        <v>135</v>
      </c>
      <c r="D53" s="55" t="b">
        <v>0</v>
      </c>
      <c r="E53" s="55" t="b">
        <v>0</v>
      </c>
      <c r="F53" s="55" t="s">
        <v>136</v>
      </c>
      <c r="G53" s="55" t="s">
        <v>776</v>
      </c>
      <c r="H53" s="55" t="s">
        <v>138</v>
      </c>
      <c r="I53" s="55" t="s">
        <v>139</v>
      </c>
      <c r="J53" s="55" t="s">
        <v>136</v>
      </c>
      <c r="K53" s="55" t="b">
        <v>0</v>
      </c>
      <c r="L53" s="56">
        <v>45890.513344907413</v>
      </c>
      <c r="O53" s="55">
        <v>0</v>
      </c>
      <c r="P53" s="56">
        <v>45884.424375000002</v>
      </c>
      <c r="Q53" s="56">
        <v>45894.81590277778</v>
      </c>
      <c r="R53" s="57">
        <v>2</v>
      </c>
      <c r="S53" s="55" t="s">
        <v>140</v>
      </c>
      <c r="T53" s="57">
        <v>16384</v>
      </c>
      <c r="U53" s="55">
        <v>655</v>
      </c>
      <c r="V53" s="55">
        <v>3</v>
      </c>
      <c r="W53" s="55">
        <v>3</v>
      </c>
      <c r="X53" s="58">
        <v>409600</v>
      </c>
      <c r="Z53" s="55" t="s">
        <v>311</v>
      </c>
      <c r="AA53" s="55" t="s">
        <v>142</v>
      </c>
      <c r="AC53" s="55" t="b">
        <v>1</v>
      </c>
      <c r="AD53" s="55" t="b">
        <v>1</v>
      </c>
      <c r="AE53" s="55" t="s">
        <v>777</v>
      </c>
      <c r="AF53" s="55" t="s">
        <v>654</v>
      </c>
      <c r="AG53" s="55" t="s">
        <v>713</v>
      </c>
      <c r="AH53" s="55" t="s">
        <v>714</v>
      </c>
      <c r="AN53" s="55">
        <v>1</v>
      </c>
      <c r="AO53" s="55">
        <v>8192</v>
      </c>
      <c r="AP53" s="55" t="s">
        <v>416</v>
      </c>
      <c r="AQ53" s="55" t="s">
        <v>778</v>
      </c>
      <c r="AR53" s="55" t="s">
        <v>779</v>
      </c>
      <c r="AT53" s="55" t="b">
        <v>1</v>
      </c>
      <c r="AU53" s="55" t="s">
        <v>150</v>
      </c>
      <c r="AW53" s="55" t="s">
        <v>151</v>
      </c>
      <c r="AX53" s="55">
        <v>-1</v>
      </c>
      <c r="AY53" s="55">
        <v>-1</v>
      </c>
      <c r="BA53" s="55">
        <v>426084</v>
      </c>
      <c r="BB53" s="55">
        <v>426084</v>
      </c>
      <c r="BC53" s="55">
        <v>409600</v>
      </c>
      <c r="BD53" s="55" t="s">
        <v>152</v>
      </c>
      <c r="BE53" s="55" t="s">
        <v>153</v>
      </c>
      <c r="BF53" s="55" t="s">
        <v>154</v>
      </c>
      <c r="BI53" s="55" t="b">
        <v>0</v>
      </c>
      <c r="BJ53" s="55">
        <v>0</v>
      </c>
      <c r="BK53" s="55">
        <v>10000</v>
      </c>
      <c r="BL53" s="55" t="b">
        <v>0</v>
      </c>
      <c r="BM53" s="55" t="b">
        <v>0</v>
      </c>
      <c r="BO53" s="55" t="b">
        <v>1</v>
      </c>
      <c r="BP53" s="55" t="s">
        <v>236</v>
      </c>
      <c r="BQ53" s="55">
        <v>19</v>
      </c>
      <c r="BR53" s="55" t="s">
        <v>153</v>
      </c>
      <c r="BS53" s="55" t="s">
        <v>156</v>
      </c>
      <c r="BU53" s="55" t="s">
        <v>780</v>
      </c>
      <c r="BV53" s="55" t="s">
        <v>781</v>
      </c>
      <c r="BW53" s="55" t="s">
        <v>781</v>
      </c>
      <c r="BX53" s="55" t="s">
        <v>781</v>
      </c>
      <c r="BY53" s="55" t="s">
        <v>782</v>
      </c>
      <c r="BZ53" s="55" t="s">
        <v>783</v>
      </c>
      <c r="CA53" s="55" t="s">
        <v>784</v>
      </c>
      <c r="CI53" s="55" t="s">
        <v>161</v>
      </c>
      <c r="CJ53" s="55" t="s">
        <v>323</v>
      </c>
      <c r="CK53" s="55" t="s">
        <v>383</v>
      </c>
      <c r="CL53" s="55" t="s">
        <v>255</v>
      </c>
      <c r="CM53" s="55" t="s">
        <v>255</v>
      </c>
      <c r="CN53" s="55" t="s">
        <v>166</v>
      </c>
      <c r="CP53" s="55" t="s">
        <v>785</v>
      </c>
      <c r="CQ53" s="55" t="s">
        <v>786</v>
      </c>
      <c r="CR53" s="55" t="s">
        <v>787</v>
      </c>
      <c r="CS53" s="55" t="s">
        <v>170</v>
      </c>
      <c r="CT53" s="55" t="s">
        <v>171</v>
      </c>
      <c r="CU53" s="55" t="s">
        <v>172</v>
      </c>
      <c r="CV53" s="55" t="s">
        <v>173</v>
      </c>
    </row>
    <row r="54" spans="1:113">
      <c r="A54" s="55" t="s">
        <v>788</v>
      </c>
      <c r="B54" s="55" t="s">
        <v>789</v>
      </c>
      <c r="C54" s="55" t="s">
        <v>135</v>
      </c>
      <c r="D54" s="55" t="b">
        <v>0</v>
      </c>
      <c r="E54" s="55" t="b">
        <v>0</v>
      </c>
      <c r="F54" s="55" t="s">
        <v>136</v>
      </c>
      <c r="G54" s="55" t="s">
        <v>790</v>
      </c>
      <c r="H54" s="55" t="s">
        <v>138</v>
      </c>
      <c r="I54" s="55" t="s">
        <v>139</v>
      </c>
      <c r="J54" s="55" t="s">
        <v>136</v>
      </c>
      <c r="K54" s="55" t="b">
        <v>0</v>
      </c>
      <c r="L54" s="56">
        <v>45890.513333333343</v>
      </c>
      <c r="O54" s="55">
        <v>0</v>
      </c>
      <c r="P54" s="56">
        <v>45884.455949074072</v>
      </c>
      <c r="Q54" s="56">
        <v>45894.819027777783</v>
      </c>
      <c r="R54" s="57">
        <v>2</v>
      </c>
      <c r="S54" s="55" t="s">
        <v>140</v>
      </c>
      <c r="T54" s="57">
        <v>16384</v>
      </c>
      <c r="U54" s="55">
        <v>655</v>
      </c>
      <c r="V54" s="55">
        <v>3</v>
      </c>
      <c r="W54" s="55">
        <v>3</v>
      </c>
      <c r="X54" s="58">
        <v>409600</v>
      </c>
      <c r="Z54" s="55" t="s">
        <v>311</v>
      </c>
      <c r="AA54" s="55" t="s">
        <v>142</v>
      </c>
      <c r="AC54" s="55" t="b">
        <v>1</v>
      </c>
      <c r="AD54" s="55" t="b">
        <v>1</v>
      </c>
      <c r="AE54" s="55" t="s">
        <v>791</v>
      </c>
      <c r="AF54" s="55" t="s">
        <v>654</v>
      </c>
      <c r="AG54" s="55" t="s">
        <v>713</v>
      </c>
      <c r="AH54" s="55" t="s">
        <v>714</v>
      </c>
      <c r="AN54" s="55">
        <v>1</v>
      </c>
      <c r="AO54" s="55">
        <v>8192</v>
      </c>
      <c r="AP54" s="55" t="s">
        <v>416</v>
      </c>
      <c r="AQ54" s="55" t="s">
        <v>778</v>
      </c>
      <c r="AR54" s="55" t="s">
        <v>779</v>
      </c>
      <c r="AT54" s="55" t="b">
        <v>1</v>
      </c>
      <c r="AU54" s="55" t="s">
        <v>150</v>
      </c>
      <c r="AW54" s="55" t="s">
        <v>151</v>
      </c>
      <c r="AX54" s="55">
        <v>-1</v>
      </c>
      <c r="AY54" s="55">
        <v>-1</v>
      </c>
      <c r="BA54" s="55">
        <v>426083</v>
      </c>
      <c r="BB54" s="55">
        <v>426083</v>
      </c>
      <c r="BC54" s="55">
        <v>409600</v>
      </c>
      <c r="BD54" s="55" t="s">
        <v>152</v>
      </c>
      <c r="BE54" s="55" t="s">
        <v>153</v>
      </c>
      <c r="BF54" s="55" t="s">
        <v>154</v>
      </c>
      <c r="BI54" s="55" t="b">
        <v>0</v>
      </c>
      <c r="BJ54" s="55">
        <v>0</v>
      </c>
      <c r="BK54" s="55">
        <v>10000</v>
      </c>
      <c r="BL54" s="55" t="b">
        <v>0</v>
      </c>
      <c r="BM54" s="55" t="b">
        <v>0</v>
      </c>
      <c r="BO54" s="55" t="b">
        <v>1</v>
      </c>
      <c r="BP54" s="55" t="s">
        <v>236</v>
      </c>
      <c r="BQ54" s="55">
        <v>19</v>
      </c>
      <c r="BR54" s="55" t="s">
        <v>153</v>
      </c>
      <c r="BS54" s="55" t="s">
        <v>156</v>
      </c>
      <c r="BU54" s="55" t="s">
        <v>792</v>
      </c>
      <c r="BV54" s="55" t="s">
        <v>793</v>
      </c>
      <c r="BW54" s="55" t="s">
        <v>793</v>
      </c>
      <c r="BX54" s="55" t="s">
        <v>793</v>
      </c>
      <c r="BY54" s="55" t="s">
        <v>782</v>
      </c>
      <c r="BZ54" s="55" t="s">
        <v>794</v>
      </c>
      <c r="CA54" s="55" t="s">
        <v>795</v>
      </c>
      <c r="CI54" s="55" t="s">
        <v>161</v>
      </c>
      <c r="CJ54" s="55" t="s">
        <v>323</v>
      </c>
      <c r="CK54" s="55" t="s">
        <v>408</v>
      </c>
      <c r="CL54" s="55" t="s">
        <v>255</v>
      </c>
      <c r="CM54" s="55" t="s">
        <v>255</v>
      </c>
      <c r="CN54" s="55" t="s">
        <v>166</v>
      </c>
      <c r="CP54" s="55" t="s">
        <v>796</v>
      </c>
      <c r="CQ54" s="55" t="s">
        <v>797</v>
      </c>
      <c r="CR54" s="55" t="s">
        <v>798</v>
      </c>
      <c r="CS54" s="55" t="s">
        <v>170</v>
      </c>
      <c r="CT54" s="55" t="s">
        <v>171</v>
      </c>
      <c r="CU54" s="55" t="s">
        <v>172</v>
      </c>
      <c r="CV54" s="55" t="s">
        <v>173</v>
      </c>
    </row>
    <row r="55" spans="1:113">
      <c r="A55" s="55" t="s">
        <v>799</v>
      </c>
      <c r="B55" s="55" t="s">
        <v>800</v>
      </c>
      <c r="C55" s="55" t="s">
        <v>135</v>
      </c>
      <c r="D55" s="55" t="b">
        <v>0</v>
      </c>
      <c r="E55" s="55" t="b">
        <v>0</v>
      </c>
      <c r="F55" s="55" t="s">
        <v>136</v>
      </c>
      <c r="G55" s="55" t="s">
        <v>801</v>
      </c>
      <c r="H55" s="55" t="s">
        <v>138</v>
      </c>
      <c r="I55" s="55" t="s">
        <v>139</v>
      </c>
      <c r="J55" s="55" t="s">
        <v>136</v>
      </c>
      <c r="K55" s="55" t="b">
        <v>0</v>
      </c>
      <c r="L55" s="56">
        <v>45890.513310185182</v>
      </c>
      <c r="O55" s="55">
        <v>0</v>
      </c>
      <c r="P55" s="56">
        <v>45884.468506944453</v>
      </c>
      <c r="Q55" s="56">
        <v>45894.824965277781</v>
      </c>
      <c r="R55" s="57">
        <v>2</v>
      </c>
      <c r="S55" s="55" t="s">
        <v>140</v>
      </c>
      <c r="T55" s="57">
        <v>16384</v>
      </c>
      <c r="U55" s="55">
        <v>819</v>
      </c>
      <c r="V55" s="55">
        <v>3</v>
      </c>
      <c r="W55" s="55">
        <v>3</v>
      </c>
      <c r="X55" s="58">
        <v>409600</v>
      </c>
      <c r="Z55" s="55" t="s">
        <v>311</v>
      </c>
      <c r="AA55" s="55" t="s">
        <v>142</v>
      </c>
      <c r="AC55" s="55" t="b">
        <v>1</v>
      </c>
      <c r="AD55" s="55" t="b">
        <v>1</v>
      </c>
      <c r="AE55" s="55" t="s">
        <v>802</v>
      </c>
      <c r="AF55" s="55" t="s">
        <v>654</v>
      </c>
      <c r="AG55" s="55" t="s">
        <v>713</v>
      </c>
      <c r="AH55" s="55" t="s">
        <v>714</v>
      </c>
      <c r="AN55" s="55">
        <v>1</v>
      </c>
      <c r="AO55" s="55">
        <v>8192</v>
      </c>
      <c r="AP55" s="55" t="s">
        <v>416</v>
      </c>
      <c r="AQ55" s="55" t="s">
        <v>778</v>
      </c>
      <c r="AR55" s="55" t="s">
        <v>779</v>
      </c>
      <c r="AT55" s="55" t="b">
        <v>1</v>
      </c>
      <c r="AU55" s="55" t="s">
        <v>150</v>
      </c>
      <c r="AW55" s="55" t="s">
        <v>151</v>
      </c>
      <c r="AX55" s="55">
        <v>-1</v>
      </c>
      <c r="AY55" s="55">
        <v>-1</v>
      </c>
      <c r="BA55" s="55">
        <v>426082</v>
      </c>
      <c r="BB55" s="55">
        <v>426082</v>
      </c>
      <c r="BC55" s="55">
        <v>409600</v>
      </c>
      <c r="BD55" s="55" t="s">
        <v>152</v>
      </c>
      <c r="BE55" s="55" t="s">
        <v>153</v>
      </c>
      <c r="BF55" s="55" t="s">
        <v>154</v>
      </c>
      <c r="BI55" s="55" t="b">
        <v>0</v>
      </c>
      <c r="BJ55" s="55">
        <v>0</v>
      </c>
      <c r="BK55" s="55">
        <v>10000</v>
      </c>
      <c r="BL55" s="55" t="b">
        <v>0</v>
      </c>
      <c r="BM55" s="55" t="b">
        <v>0</v>
      </c>
      <c r="BO55" s="55" t="b">
        <v>1</v>
      </c>
      <c r="BP55" s="55" t="s">
        <v>236</v>
      </c>
      <c r="BQ55" s="55">
        <v>19</v>
      </c>
      <c r="BR55" s="55" t="s">
        <v>153</v>
      </c>
      <c r="BS55" s="55" t="s">
        <v>156</v>
      </c>
      <c r="BU55" s="55" t="s">
        <v>803</v>
      </c>
      <c r="BV55" s="55" t="s">
        <v>804</v>
      </c>
      <c r="BW55" s="55" t="s">
        <v>804</v>
      </c>
      <c r="BX55" s="55" t="s">
        <v>804</v>
      </c>
      <c r="BY55" s="55" t="s">
        <v>782</v>
      </c>
      <c r="BZ55" s="55" t="s">
        <v>805</v>
      </c>
      <c r="CA55" s="55" t="s">
        <v>806</v>
      </c>
      <c r="CI55" s="55" t="s">
        <v>161</v>
      </c>
      <c r="CJ55" s="55" t="s">
        <v>323</v>
      </c>
      <c r="CK55" s="55" t="s">
        <v>338</v>
      </c>
      <c r="CL55" s="55" t="s">
        <v>255</v>
      </c>
      <c r="CM55" s="55" t="s">
        <v>255</v>
      </c>
      <c r="CN55" s="55" t="s">
        <v>166</v>
      </c>
      <c r="CP55" s="55" t="s">
        <v>807</v>
      </c>
      <c r="CQ55" s="55" t="s">
        <v>808</v>
      </c>
      <c r="CR55" s="55" t="s">
        <v>809</v>
      </c>
      <c r="CS55" s="55" t="s">
        <v>170</v>
      </c>
      <c r="CT55" s="55" t="s">
        <v>171</v>
      </c>
      <c r="CU55" s="55" t="s">
        <v>172</v>
      </c>
      <c r="CV55" s="55" t="s">
        <v>173</v>
      </c>
    </row>
    <row r="56" spans="1:113">
      <c r="A56" s="55" t="s">
        <v>810</v>
      </c>
      <c r="B56" s="55" t="s">
        <v>811</v>
      </c>
      <c r="C56" s="55" t="s">
        <v>135</v>
      </c>
      <c r="D56" s="55" t="b">
        <v>0</v>
      </c>
      <c r="E56" s="55" t="b">
        <v>0</v>
      </c>
      <c r="F56" s="55" t="s">
        <v>136</v>
      </c>
      <c r="G56" s="55" t="s">
        <v>812</v>
      </c>
      <c r="H56" s="55" t="s">
        <v>138</v>
      </c>
      <c r="I56" s="55" t="s">
        <v>139</v>
      </c>
      <c r="J56" s="55" t="s">
        <v>136</v>
      </c>
      <c r="K56" s="55" t="b">
        <v>0</v>
      </c>
      <c r="L56" s="56">
        <v>45857.871828703697</v>
      </c>
      <c r="O56" s="55">
        <v>0</v>
      </c>
      <c r="P56" s="56">
        <v>25568.791666666672</v>
      </c>
      <c r="Q56" s="56">
        <v>45902.215636574067</v>
      </c>
      <c r="R56" s="57">
        <v>2</v>
      </c>
      <c r="S56" s="55" t="s">
        <v>140</v>
      </c>
      <c r="T56" s="57">
        <v>4096</v>
      </c>
      <c r="U56" s="55">
        <v>778</v>
      </c>
      <c r="V56" s="55">
        <v>3</v>
      </c>
      <c r="W56" s="55">
        <v>3</v>
      </c>
      <c r="X56" s="58">
        <v>215040</v>
      </c>
      <c r="Z56" s="55" t="s">
        <v>813</v>
      </c>
      <c r="AA56" s="55" t="s">
        <v>142</v>
      </c>
      <c r="AC56" s="55" t="b">
        <v>1</v>
      </c>
      <c r="AD56" s="55" t="b">
        <v>1</v>
      </c>
      <c r="AE56" s="55" t="s">
        <v>814</v>
      </c>
      <c r="AF56" s="55" t="s">
        <v>815</v>
      </c>
      <c r="AG56" s="55" t="s">
        <v>816</v>
      </c>
      <c r="AH56" s="55" t="s">
        <v>817</v>
      </c>
      <c r="AN56" s="55">
        <v>1</v>
      </c>
      <c r="AO56" s="55">
        <v>16384</v>
      </c>
      <c r="AP56" s="55" t="s">
        <v>818</v>
      </c>
      <c r="AQ56" s="55" t="s">
        <v>317</v>
      </c>
      <c r="AR56" s="55" t="s">
        <v>318</v>
      </c>
      <c r="AT56" s="55" t="b">
        <v>1</v>
      </c>
      <c r="AU56" s="55" t="s">
        <v>150</v>
      </c>
      <c r="AW56" s="55" t="s">
        <v>151</v>
      </c>
      <c r="AX56" s="55">
        <v>-1</v>
      </c>
      <c r="AY56" s="55">
        <v>-1</v>
      </c>
      <c r="BA56" s="55">
        <v>219225</v>
      </c>
      <c r="BB56" s="55">
        <v>219225</v>
      </c>
      <c r="BC56" s="55">
        <v>215040</v>
      </c>
      <c r="BD56" s="55" t="s">
        <v>152</v>
      </c>
      <c r="BE56" s="55" t="s">
        <v>153</v>
      </c>
      <c r="BF56" s="55" t="s">
        <v>154</v>
      </c>
      <c r="BI56" s="55" t="b">
        <v>0</v>
      </c>
      <c r="BJ56" s="55">
        <v>0</v>
      </c>
      <c r="BK56" s="55">
        <v>10000</v>
      </c>
      <c r="BL56" s="55" t="b">
        <v>0</v>
      </c>
      <c r="BM56" s="55" t="b">
        <v>0</v>
      </c>
      <c r="BO56" s="55" t="b">
        <v>0</v>
      </c>
      <c r="BP56" s="55" t="s">
        <v>155</v>
      </c>
      <c r="BQ56" s="55">
        <v>15</v>
      </c>
      <c r="BR56" s="55" t="s">
        <v>153</v>
      </c>
      <c r="BS56" s="55" t="s">
        <v>156</v>
      </c>
      <c r="BU56" s="55" t="s">
        <v>819</v>
      </c>
      <c r="BV56" s="55" t="s">
        <v>820</v>
      </c>
      <c r="BW56" s="55" t="s">
        <v>820</v>
      </c>
      <c r="BX56" s="55" t="s">
        <v>820</v>
      </c>
      <c r="BZ56" s="55" t="s">
        <v>821</v>
      </c>
      <c r="CA56" s="55" t="s">
        <v>822</v>
      </c>
      <c r="CB56" s="55" t="s">
        <v>823</v>
      </c>
      <c r="CI56" s="55" t="s">
        <v>161</v>
      </c>
      <c r="CJ56" s="55" t="s">
        <v>824</v>
      </c>
      <c r="CK56" s="55" t="s">
        <v>825</v>
      </c>
      <c r="CL56" s="55" t="s">
        <v>826</v>
      </c>
      <c r="CM56" s="55" t="s">
        <v>826</v>
      </c>
      <c r="CN56" s="55" t="s">
        <v>166</v>
      </c>
      <c r="CP56" s="55" t="s">
        <v>823</v>
      </c>
      <c r="CQ56" s="55" t="s">
        <v>827</v>
      </c>
      <c r="CR56" s="55" t="s">
        <v>828</v>
      </c>
      <c r="CS56" s="55" t="s">
        <v>170</v>
      </c>
      <c r="CT56" s="55" t="s">
        <v>171</v>
      </c>
      <c r="CU56" s="55" t="s">
        <v>172</v>
      </c>
      <c r="CV56" s="55" t="s">
        <v>173</v>
      </c>
    </row>
    <row r="57" spans="1:113" s="49" customFormat="1">
      <c r="A57" s="55" t="s">
        <v>829</v>
      </c>
      <c r="B57" s="55" t="s">
        <v>830</v>
      </c>
      <c r="C57" s="55" t="s">
        <v>135</v>
      </c>
      <c r="D57" s="55" t="b">
        <v>0</v>
      </c>
      <c r="E57" s="55" t="b">
        <v>0</v>
      </c>
      <c r="F57" s="55" t="s">
        <v>136</v>
      </c>
      <c r="G57" s="55" t="s">
        <v>831</v>
      </c>
      <c r="H57" s="55" t="s">
        <v>138</v>
      </c>
      <c r="I57" s="55" t="s">
        <v>139</v>
      </c>
      <c r="J57" s="55" t="s">
        <v>136</v>
      </c>
      <c r="K57" s="55" t="b">
        <v>0</v>
      </c>
      <c r="L57" s="56">
        <v>45497.433564814812</v>
      </c>
      <c r="M57" s="55"/>
      <c r="N57" s="55"/>
      <c r="O57" s="55">
        <v>0</v>
      </c>
      <c r="P57" s="56">
        <v>25568.791666666672</v>
      </c>
      <c r="Q57" s="56">
        <v>45882.550150462957</v>
      </c>
      <c r="R57" s="57">
        <v>4</v>
      </c>
      <c r="S57" s="55"/>
      <c r="T57" s="57">
        <v>4096</v>
      </c>
      <c r="U57" s="55">
        <v>245</v>
      </c>
      <c r="V57" s="55">
        <v>3</v>
      </c>
      <c r="W57" s="55">
        <v>2</v>
      </c>
      <c r="X57" s="58">
        <v>174080</v>
      </c>
      <c r="Y57" s="55"/>
      <c r="Z57" s="55" t="s">
        <v>832</v>
      </c>
      <c r="AA57" s="55" t="s">
        <v>142</v>
      </c>
      <c r="AB57" s="55"/>
      <c r="AC57" s="55"/>
      <c r="AD57" s="55" t="b">
        <v>1</v>
      </c>
      <c r="AE57" s="55" t="s">
        <v>833</v>
      </c>
      <c r="AF57" s="55" t="s">
        <v>834</v>
      </c>
      <c r="AG57" s="55" t="s">
        <v>835</v>
      </c>
      <c r="AH57" s="55" t="s">
        <v>836</v>
      </c>
      <c r="AI57" s="55"/>
      <c r="AJ57" s="55"/>
      <c r="AK57" s="55"/>
      <c r="AL57" s="55"/>
      <c r="AM57" s="55"/>
      <c r="AN57" s="55">
        <v>1</v>
      </c>
      <c r="AO57" s="55">
        <v>0</v>
      </c>
      <c r="AP57" s="55" t="s">
        <v>837</v>
      </c>
      <c r="AQ57" s="55" t="s">
        <v>192</v>
      </c>
      <c r="AR57" s="55" t="s">
        <v>193</v>
      </c>
      <c r="AS57" s="55"/>
      <c r="AT57" s="55" t="b">
        <v>1</v>
      </c>
      <c r="AU57" s="55" t="s">
        <v>150</v>
      </c>
      <c r="AV57" s="55"/>
      <c r="AW57" s="55" t="s">
        <v>151</v>
      </c>
      <c r="AX57" s="55">
        <v>-1</v>
      </c>
      <c r="AY57" s="55">
        <v>-1</v>
      </c>
      <c r="AZ57" s="55"/>
      <c r="BA57" s="55">
        <v>178356</v>
      </c>
      <c r="BB57" s="55">
        <v>178356</v>
      </c>
      <c r="BC57" s="55">
        <v>174080</v>
      </c>
      <c r="BD57" s="55" t="s">
        <v>152</v>
      </c>
      <c r="BE57" s="55" t="s">
        <v>153</v>
      </c>
      <c r="BF57" s="55" t="s">
        <v>154</v>
      </c>
      <c r="BG57" s="55"/>
      <c r="BH57" s="55"/>
      <c r="BI57" s="55" t="b">
        <v>0</v>
      </c>
      <c r="BJ57" s="55">
        <v>0</v>
      </c>
      <c r="BK57" s="55">
        <v>10000</v>
      </c>
      <c r="BL57" s="55" t="b">
        <v>0</v>
      </c>
      <c r="BM57" s="55" t="b">
        <v>0</v>
      </c>
      <c r="BN57" s="55"/>
      <c r="BO57" s="55" t="b">
        <v>0</v>
      </c>
      <c r="BP57" s="55" t="s">
        <v>155</v>
      </c>
      <c r="BQ57" s="55">
        <v>13</v>
      </c>
      <c r="BR57" s="55" t="s">
        <v>153</v>
      </c>
      <c r="BS57" s="55" t="s">
        <v>156</v>
      </c>
      <c r="BT57" s="55"/>
      <c r="BU57" s="55" t="s">
        <v>838</v>
      </c>
      <c r="BV57" s="55" t="s">
        <v>839</v>
      </c>
      <c r="BW57" s="55" t="s">
        <v>839</v>
      </c>
      <c r="BX57" s="55" t="s">
        <v>839</v>
      </c>
      <c r="BY57" s="55" t="s">
        <v>840</v>
      </c>
      <c r="BZ57" s="55" t="s">
        <v>841</v>
      </c>
      <c r="CA57" s="55" t="s">
        <v>842</v>
      </c>
      <c r="CB57" s="55" t="s">
        <v>843</v>
      </c>
      <c r="CC57" s="55"/>
      <c r="CD57" s="55"/>
      <c r="CE57" s="55"/>
      <c r="CF57" s="55"/>
      <c r="CG57" s="55"/>
      <c r="CH57" s="55"/>
      <c r="CI57" s="55" t="s">
        <v>161</v>
      </c>
      <c r="CJ57" s="55" t="s">
        <v>844</v>
      </c>
      <c r="CK57" s="55" t="s">
        <v>845</v>
      </c>
      <c r="CL57" s="55" t="s">
        <v>846</v>
      </c>
      <c r="CM57" s="55" t="s">
        <v>846</v>
      </c>
      <c r="CN57" s="55"/>
      <c r="CO57" s="55"/>
      <c r="CP57" s="55" t="s">
        <v>843</v>
      </c>
      <c r="CQ57" s="55" t="s">
        <v>847</v>
      </c>
      <c r="CR57" s="55" t="s">
        <v>848</v>
      </c>
      <c r="CS57" s="55" t="s">
        <v>170</v>
      </c>
      <c r="CT57" s="55" t="s">
        <v>171</v>
      </c>
      <c r="CU57" s="55" t="s">
        <v>172</v>
      </c>
      <c r="CV57" s="55" t="s">
        <v>173</v>
      </c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</row>
    <row r="58" spans="1:113">
      <c r="A58" s="49" t="s">
        <v>849</v>
      </c>
      <c r="B58" s="49" t="s">
        <v>850</v>
      </c>
      <c r="C58" s="49" t="s">
        <v>732</v>
      </c>
      <c r="D58" s="49" t="b">
        <v>0</v>
      </c>
      <c r="E58" s="49" t="b">
        <v>0</v>
      </c>
      <c r="F58" s="49" t="s">
        <v>136</v>
      </c>
      <c r="G58" s="49"/>
      <c r="H58" s="49" t="s">
        <v>138</v>
      </c>
      <c r="I58" s="49" t="s">
        <v>474</v>
      </c>
      <c r="J58" s="49" t="s">
        <v>151</v>
      </c>
      <c r="K58" s="49" t="b">
        <v>0</v>
      </c>
      <c r="L58" s="49"/>
      <c r="M58" s="49"/>
      <c r="N58" s="49"/>
      <c r="O58" s="49">
        <v>0</v>
      </c>
      <c r="P58" s="50">
        <v>44098.061157407406</v>
      </c>
      <c r="Q58" s="50">
        <v>45866.419039351851</v>
      </c>
      <c r="R58" s="51">
        <v>16</v>
      </c>
      <c r="S58" s="49"/>
      <c r="T58" s="51">
        <v>12288</v>
      </c>
      <c r="U58" s="49">
        <v>0</v>
      </c>
      <c r="V58" s="49">
        <v>3</v>
      </c>
      <c r="W58" s="49">
        <v>1</v>
      </c>
      <c r="X58" s="52">
        <v>204800</v>
      </c>
      <c r="Y58" s="49"/>
      <c r="Z58" s="49"/>
      <c r="AA58" s="49" t="s">
        <v>142</v>
      </c>
      <c r="AB58" s="49"/>
      <c r="AC58" s="49"/>
      <c r="AD58" s="49" t="b">
        <v>1</v>
      </c>
      <c r="AE58" s="49"/>
      <c r="AF58" s="49" t="s">
        <v>851</v>
      </c>
      <c r="AG58" s="49" t="s">
        <v>815</v>
      </c>
      <c r="AH58" s="49" t="s">
        <v>852</v>
      </c>
      <c r="AI58" s="49"/>
      <c r="AJ58" s="49"/>
      <c r="AK58" s="49"/>
      <c r="AL58" s="49"/>
      <c r="AM58" s="49"/>
      <c r="AN58" s="49">
        <v>1</v>
      </c>
      <c r="AO58" s="49">
        <v>4096</v>
      </c>
      <c r="AP58" s="49" t="s">
        <v>818</v>
      </c>
      <c r="AQ58" s="49" t="s">
        <v>853</v>
      </c>
      <c r="AR58" s="49" t="s">
        <v>854</v>
      </c>
      <c r="AS58" s="49"/>
      <c r="AT58" s="49"/>
      <c r="AU58" s="49" t="s">
        <v>150</v>
      </c>
      <c r="AV58" s="49"/>
      <c r="AW58" s="49" t="s">
        <v>151</v>
      </c>
      <c r="AX58" s="49">
        <v>-1</v>
      </c>
      <c r="AY58" s="49">
        <v>-1</v>
      </c>
      <c r="AZ58" s="49"/>
      <c r="BA58" s="49">
        <v>217669</v>
      </c>
      <c r="BB58" s="49">
        <v>204801</v>
      </c>
      <c r="BC58" s="49">
        <v>204800</v>
      </c>
      <c r="BD58" s="49" t="s">
        <v>152</v>
      </c>
      <c r="BE58" s="49" t="s">
        <v>153</v>
      </c>
      <c r="BF58" s="49" t="s">
        <v>154</v>
      </c>
      <c r="BG58" s="49"/>
      <c r="BH58" s="49"/>
      <c r="BI58" s="49" t="b">
        <v>0</v>
      </c>
      <c r="BJ58" s="49">
        <v>0</v>
      </c>
      <c r="BK58" s="49">
        <v>10000</v>
      </c>
      <c r="BL58" s="49" t="b">
        <v>0</v>
      </c>
      <c r="BM58" s="49" t="b">
        <v>0</v>
      </c>
      <c r="BN58" s="49"/>
      <c r="BO58" s="49" t="b">
        <v>0</v>
      </c>
      <c r="BP58" s="49" t="s">
        <v>155</v>
      </c>
      <c r="BQ58" s="49">
        <v>15</v>
      </c>
      <c r="BR58" s="49" t="s">
        <v>153</v>
      </c>
      <c r="BS58" s="49" t="s">
        <v>156</v>
      </c>
      <c r="BT58" s="49"/>
      <c r="BU58" s="49" t="s">
        <v>855</v>
      </c>
      <c r="BV58" s="49" t="s">
        <v>856</v>
      </c>
      <c r="BW58" s="49" t="s">
        <v>856</v>
      </c>
      <c r="BX58" s="49" t="s">
        <v>856</v>
      </c>
      <c r="BY58" s="49"/>
      <c r="BZ58" s="49" t="s">
        <v>857</v>
      </c>
      <c r="CA58" s="49" t="s">
        <v>858</v>
      </c>
      <c r="CB58" s="49"/>
      <c r="CC58" s="49"/>
      <c r="CD58" s="49"/>
      <c r="CE58" s="49"/>
      <c r="CF58" s="49"/>
      <c r="CG58" s="49"/>
      <c r="CH58" s="49"/>
      <c r="CI58" s="49" t="s">
        <v>161</v>
      </c>
      <c r="CJ58" s="49" t="s">
        <v>824</v>
      </c>
      <c r="CK58" s="49" t="s">
        <v>859</v>
      </c>
      <c r="CL58" s="49" t="s">
        <v>860</v>
      </c>
      <c r="CM58" s="49" t="s">
        <v>860</v>
      </c>
      <c r="CN58" s="49"/>
      <c r="CO58" s="49"/>
      <c r="CP58" s="49" t="s">
        <v>861</v>
      </c>
      <c r="CQ58" s="49" t="s">
        <v>862</v>
      </c>
      <c r="CR58" s="49" t="s">
        <v>863</v>
      </c>
      <c r="CS58" s="49" t="s">
        <v>170</v>
      </c>
      <c r="CT58" s="49" t="s">
        <v>171</v>
      </c>
      <c r="CU58" s="49" t="s">
        <v>172</v>
      </c>
      <c r="CV58" s="49" t="s">
        <v>173</v>
      </c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</row>
    <row r="59" spans="1:113">
      <c r="A59" s="55" t="s">
        <v>849</v>
      </c>
      <c r="B59" s="55" t="s">
        <v>864</v>
      </c>
      <c r="C59" s="55" t="s">
        <v>135</v>
      </c>
      <c r="D59" s="55" t="b">
        <v>0</v>
      </c>
      <c r="E59" s="55" t="b">
        <v>0</v>
      </c>
      <c r="F59" s="55" t="s">
        <v>136</v>
      </c>
      <c r="H59" s="55" t="s">
        <v>138</v>
      </c>
      <c r="I59" s="55" t="s">
        <v>474</v>
      </c>
      <c r="J59" s="55" t="s">
        <v>151</v>
      </c>
      <c r="K59" s="55" t="b">
        <v>0</v>
      </c>
      <c r="L59" s="56">
        <v>45866.417291666658</v>
      </c>
      <c r="O59" s="55">
        <v>0</v>
      </c>
      <c r="P59" s="56">
        <v>44098.061157407406</v>
      </c>
      <c r="Q59" s="56">
        <v>45902.264675925922</v>
      </c>
      <c r="R59" s="57">
        <v>16</v>
      </c>
      <c r="S59" s="55" t="s">
        <v>140</v>
      </c>
      <c r="T59" s="57">
        <v>12288</v>
      </c>
      <c r="U59" s="55">
        <v>614</v>
      </c>
      <c r="V59" s="55">
        <v>3</v>
      </c>
      <c r="W59" s="55">
        <v>1</v>
      </c>
      <c r="X59" s="58">
        <v>204800</v>
      </c>
      <c r="Z59" s="55" t="s">
        <v>813</v>
      </c>
      <c r="AA59" s="55" t="s">
        <v>142</v>
      </c>
      <c r="AD59" s="55" t="b">
        <v>1</v>
      </c>
      <c r="AF59" s="55" t="s">
        <v>851</v>
      </c>
      <c r="AG59" s="55" t="s">
        <v>815</v>
      </c>
      <c r="AH59" s="55" t="s">
        <v>852</v>
      </c>
      <c r="AN59" s="55">
        <v>1</v>
      </c>
      <c r="AO59" s="55">
        <v>4096</v>
      </c>
      <c r="AP59" s="55" t="s">
        <v>818</v>
      </c>
      <c r="AQ59" s="55" t="s">
        <v>192</v>
      </c>
      <c r="AR59" s="55" t="s">
        <v>193</v>
      </c>
      <c r="AT59" s="55" t="b">
        <v>1</v>
      </c>
      <c r="AU59" s="55" t="s">
        <v>150</v>
      </c>
      <c r="AW59" s="55" t="s">
        <v>151</v>
      </c>
      <c r="AX59" s="55">
        <v>-1</v>
      </c>
      <c r="AY59" s="55">
        <v>-1</v>
      </c>
      <c r="BA59" s="55">
        <v>217193</v>
      </c>
      <c r="BB59" s="55">
        <v>217193</v>
      </c>
      <c r="BC59" s="55">
        <v>204800</v>
      </c>
      <c r="BD59" s="55" t="s">
        <v>152</v>
      </c>
      <c r="BE59" s="55" t="s">
        <v>153</v>
      </c>
      <c r="BF59" s="55" t="s">
        <v>154</v>
      </c>
      <c r="BI59" s="55" t="b">
        <v>0</v>
      </c>
      <c r="BJ59" s="55">
        <v>0</v>
      </c>
      <c r="BK59" s="55">
        <v>10000</v>
      </c>
      <c r="BL59" s="55" t="b">
        <v>0</v>
      </c>
      <c r="BM59" s="55" t="b">
        <v>0</v>
      </c>
      <c r="BO59" s="55" t="b">
        <v>0</v>
      </c>
      <c r="BP59" s="55" t="s">
        <v>155</v>
      </c>
      <c r="BQ59" s="55">
        <v>15</v>
      </c>
      <c r="BR59" s="55" t="s">
        <v>153</v>
      </c>
      <c r="BS59" s="55" t="s">
        <v>156</v>
      </c>
      <c r="BU59" s="55" t="s">
        <v>865</v>
      </c>
      <c r="BV59" s="55" t="s">
        <v>866</v>
      </c>
      <c r="BW59" s="55" t="s">
        <v>866</v>
      </c>
      <c r="BX59" s="55" t="s">
        <v>866</v>
      </c>
      <c r="BZ59" s="55" t="s">
        <v>867</v>
      </c>
      <c r="CA59" s="55" t="s">
        <v>868</v>
      </c>
      <c r="CI59" s="55" t="s">
        <v>161</v>
      </c>
      <c r="CJ59" s="55" t="s">
        <v>824</v>
      </c>
      <c r="CK59" s="55" t="s">
        <v>869</v>
      </c>
      <c r="CL59" s="55" t="s">
        <v>860</v>
      </c>
      <c r="CN59" s="55" t="s">
        <v>166</v>
      </c>
      <c r="CP59" s="55" t="s">
        <v>870</v>
      </c>
      <c r="CQ59" s="55" t="s">
        <v>871</v>
      </c>
      <c r="CR59" s="55" t="s">
        <v>872</v>
      </c>
      <c r="CS59" s="55" t="s">
        <v>170</v>
      </c>
      <c r="CT59" s="55" t="s">
        <v>171</v>
      </c>
      <c r="CU59" s="55" t="s">
        <v>172</v>
      </c>
      <c r="CV59" s="55" t="s">
        <v>173</v>
      </c>
    </row>
    <row r="60" spans="1:113">
      <c r="A60" s="55" t="s">
        <v>873</v>
      </c>
      <c r="B60" s="55" t="s">
        <v>874</v>
      </c>
      <c r="C60" s="55" t="s">
        <v>135</v>
      </c>
      <c r="D60" s="55" t="b">
        <v>0</v>
      </c>
      <c r="E60" s="55" t="b">
        <v>0</v>
      </c>
      <c r="F60" s="55" t="s">
        <v>136</v>
      </c>
      <c r="G60" s="55" t="s">
        <v>875</v>
      </c>
      <c r="H60" s="55" t="s">
        <v>138</v>
      </c>
      <c r="I60" s="55" t="s">
        <v>139</v>
      </c>
      <c r="J60" s="55" t="s">
        <v>136</v>
      </c>
      <c r="K60" s="55" t="b">
        <v>0</v>
      </c>
      <c r="L60" s="56">
        <v>45773.996400462973</v>
      </c>
      <c r="O60" s="55">
        <v>0</v>
      </c>
      <c r="P60" s="56">
        <v>25568.791666666672</v>
      </c>
      <c r="Q60" s="56">
        <v>45882.64303240741</v>
      </c>
      <c r="R60" s="57">
        <v>4</v>
      </c>
      <c r="T60" s="57">
        <v>8192</v>
      </c>
      <c r="U60" s="55">
        <v>1720</v>
      </c>
      <c r="V60" s="55">
        <v>3</v>
      </c>
      <c r="W60" s="55">
        <v>3</v>
      </c>
      <c r="X60" s="58">
        <v>460800</v>
      </c>
      <c r="Z60" s="55" t="s">
        <v>832</v>
      </c>
      <c r="AA60" s="55" t="s">
        <v>142</v>
      </c>
      <c r="AC60" s="55" t="b">
        <v>1</v>
      </c>
      <c r="AD60" s="55" t="b">
        <v>1</v>
      </c>
      <c r="AE60" s="55" t="s">
        <v>876</v>
      </c>
      <c r="AF60" s="55" t="s">
        <v>834</v>
      </c>
      <c r="AG60" s="55" t="s">
        <v>835</v>
      </c>
      <c r="AH60" s="55" t="s">
        <v>836</v>
      </c>
      <c r="AN60" s="55">
        <v>1</v>
      </c>
      <c r="AO60" s="55">
        <v>0</v>
      </c>
      <c r="AP60" s="55" t="s">
        <v>837</v>
      </c>
      <c r="AQ60" s="55" t="s">
        <v>317</v>
      </c>
      <c r="AR60" s="55" t="s">
        <v>318</v>
      </c>
      <c r="AT60" s="55" t="b">
        <v>1</v>
      </c>
      <c r="AU60" s="55" t="s">
        <v>150</v>
      </c>
      <c r="AW60" s="55" t="s">
        <v>151</v>
      </c>
      <c r="AX60" s="55">
        <v>-1</v>
      </c>
      <c r="AY60" s="55">
        <v>-1</v>
      </c>
      <c r="BA60" s="55">
        <v>469196</v>
      </c>
      <c r="BB60" s="55">
        <v>469196</v>
      </c>
      <c r="BC60" s="55">
        <v>460800</v>
      </c>
      <c r="BD60" s="55" t="s">
        <v>152</v>
      </c>
      <c r="BE60" s="55" t="s">
        <v>153</v>
      </c>
      <c r="BF60" s="55" t="s">
        <v>154</v>
      </c>
      <c r="BI60" s="55" t="b">
        <v>0</v>
      </c>
      <c r="BJ60" s="55">
        <v>0</v>
      </c>
      <c r="BK60" s="55">
        <v>10000</v>
      </c>
      <c r="BL60" s="55" t="b">
        <v>0</v>
      </c>
      <c r="BM60" s="55" t="b">
        <v>0</v>
      </c>
      <c r="BO60" s="55" t="b">
        <v>0</v>
      </c>
      <c r="BP60" s="55" t="s">
        <v>155</v>
      </c>
      <c r="BQ60" s="55">
        <v>13</v>
      </c>
      <c r="BR60" s="55" t="s">
        <v>153</v>
      </c>
      <c r="BS60" s="55" t="s">
        <v>156</v>
      </c>
      <c r="BU60" s="55" t="s">
        <v>877</v>
      </c>
      <c r="BV60" s="55" t="s">
        <v>878</v>
      </c>
      <c r="BW60" s="55" t="s">
        <v>878</v>
      </c>
      <c r="BX60" s="55" t="s">
        <v>878</v>
      </c>
      <c r="BZ60" s="55" t="s">
        <v>879</v>
      </c>
      <c r="CA60" s="55" t="s">
        <v>880</v>
      </c>
      <c r="CI60" s="55" t="s">
        <v>161</v>
      </c>
      <c r="CJ60" s="55" t="s">
        <v>844</v>
      </c>
      <c r="CK60" s="55" t="s">
        <v>881</v>
      </c>
      <c r="CL60" s="55" t="s">
        <v>882</v>
      </c>
      <c r="CM60" s="55" t="s">
        <v>882</v>
      </c>
      <c r="CP60" s="55" t="s">
        <v>883</v>
      </c>
      <c r="CQ60" s="55" t="s">
        <v>884</v>
      </c>
      <c r="CR60" s="55" t="s">
        <v>885</v>
      </c>
      <c r="CS60" s="55" t="s">
        <v>170</v>
      </c>
      <c r="CT60" s="55" t="s">
        <v>171</v>
      </c>
      <c r="CU60" s="55" t="s">
        <v>172</v>
      </c>
      <c r="CV60" s="55" t="s">
        <v>173</v>
      </c>
    </row>
    <row r="61" spans="1:113">
      <c r="A61" s="55" t="s">
        <v>886</v>
      </c>
      <c r="B61" s="55" t="s">
        <v>887</v>
      </c>
      <c r="C61" s="55" t="s">
        <v>135</v>
      </c>
      <c r="D61" s="55" t="b">
        <v>0</v>
      </c>
      <c r="E61" s="55" t="b">
        <v>0</v>
      </c>
      <c r="F61" s="55" t="s">
        <v>136</v>
      </c>
      <c r="G61" s="55" t="s">
        <v>888</v>
      </c>
      <c r="H61" s="55" t="s">
        <v>138</v>
      </c>
      <c r="I61" s="55" t="s">
        <v>139</v>
      </c>
      <c r="J61" s="55" t="s">
        <v>136</v>
      </c>
      <c r="K61" s="55" t="b">
        <v>0</v>
      </c>
      <c r="L61" s="56">
        <v>45762.418333333328</v>
      </c>
      <c r="O61" s="55">
        <v>0</v>
      </c>
      <c r="P61" s="56">
        <v>25568.791666666672</v>
      </c>
      <c r="Q61" s="56">
        <v>45882.643125000002</v>
      </c>
      <c r="R61" s="57">
        <v>4</v>
      </c>
      <c r="T61" s="57">
        <v>8192</v>
      </c>
      <c r="U61" s="55">
        <v>655</v>
      </c>
      <c r="V61" s="55">
        <v>3</v>
      </c>
      <c r="W61" s="55">
        <v>2</v>
      </c>
      <c r="X61" s="58">
        <v>430080</v>
      </c>
      <c r="Z61" s="55" t="s">
        <v>832</v>
      </c>
      <c r="AA61" s="55" t="s">
        <v>142</v>
      </c>
      <c r="AC61" s="55" t="b">
        <v>1</v>
      </c>
      <c r="AD61" s="55" t="b">
        <v>1</v>
      </c>
      <c r="AE61" s="55" t="s">
        <v>889</v>
      </c>
      <c r="AF61" s="55" t="s">
        <v>834</v>
      </c>
      <c r="AG61" s="55" t="s">
        <v>890</v>
      </c>
      <c r="AH61" s="55" t="s">
        <v>836</v>
      </c>
      <c r="AN61" s="55">
        <v>1</v>
      </c>
      <c r="AO61" s="55">
        <v>0</v>
      </c>
      <c r="AP61" s="55" t="s">
        <v>837</v>
      </c>
      <c r="AQ61" s="55" t="s">
        <v>317</v>
      </c>
      <c r="AR61" s="55" t="s">
        <v>318</v>
      </c>
      <c r="AT61" s="55" t="b">
        <v>1</v>
      </c>
      <c r="AU61" s="55" t="s">
        <v>150</v>
      </c>
      <c r="AW61" s="55" t="s">
        <v>151</v>
      </c>
      <c r="AX61" s="55">
        <v>-1</v>
      </c>
      <c r="AY61" s="55">
        <v>-1</v>
      </c>
      <c r="BA61" s="55">
        <v>438460</v>
      </c>
      <c r="BB61" s="55">
        <v>438460</v>
      </c>
      <c r="BC61" s="55">
        <v>430080</v>
      </c>
      <c r="BD61" s="55" t="s">
        <v>152</v>
      </c>
      <c r="BE61" s="55" t="s">
        <v>153</v>
      </c>
      <c r="BF61" s="55" t="s">
        <v>154</v>
      </c>
      <c r="BI61" s="55" t="b">
        <v>0</v>
      </c>
      <c r="BJ61" s="55">
        <v>0</v>
      </c>
      <c r="BK61" s="55">
        <v>10000</v>
      </c>
      <c r="BL61" s="55" t="b">
        <v>0</v>
      </c>
      <c r="BM61" s="55" t="b">
        <v>0</v>
      </c>
      <c r="BO61" s="55" t="b">
        <v>0</v>
      </c>
      <c r="BP61" s="55" t="s">
        <v>155</v>
      </c>
      <c r="BQ61" s="55">
        <v>13</v>
      </c>
      <c r="BR61" s="55" t="s">
        <v>153</v>
      </c>
      <c r="BS61" s="55" t="s">
        <v>156</v>
      </c>
      <c r="BU61" s="55" t="s">
        <v>891</v>
      </c>
      <c r="BV61" s="55" t="s">
        <v>892</v>
      </c>
      <c r="BW61" s="55" t="s">
        <v>892</v>
      </c>
      <c r="BX61" s="55" t="s">
        <v>892</v>
      </c>
      <c r="BY61" s="55" t="s">
        <v>893</v>
      </c>
      <c r="BZ61" s="55" t="s">
        <v>894</v>
      </c>
      <c r="CA61" s="55" t="s">
        <v>895</v>
      </c>
      <c r="CI61" s="55" t="s">
        <v>161</v>
      </c>
      <c r="CJ61" s="55" t="s">
        <v>844</v>
      </c>
      <c r="CK61" s="55" t="s">
        <v>896</v>
      </c>
      <c r="CL61" s="55" t="s">
        <v>882</v>
      </c>
      <c r="CM61" s="55" t="s">
        <v>897</v>
      </c>
      <c r="CP61" s="55" t="s">
        <v>898</v>
      </c>
      <c r="CQ61" s="55" t="s">
        <v>899</v>
      </c>
      <c r="CR61" s="55" t="s">
        <v>900</v>
      </c>
      <c r="CS61" s="55" t="s">
        <v>170</v>
      </c>
      <c r="CT61" s="55" t="s">
        <v>171</v>
      </c>
      <c r="CU61" s="55" t="s">
        <v>172</v>
      </c>
      <c r="CV61" s="55" t="s">
        <v>173</v>
      </c>
    </row>
    <row r="62" spans="1:113">
      <c r="A62" s="55" t="s">
        <v>901</v>
      </c>
      <c r="B62" s="55" t="s">
        <v>902</v>
      </c>
      <c r="C62" s="55" t="s">
        <v>135</v>
      </c>
      <c r="D62" s="55" t="b">
        <v>0</v>
      </c>
      <c r="E62" s="55" t="b">
        <v>0</v>
      </c>
      <c r="F62" s="55" t="s">
        <v>136</v>
      </c>
      <c r="G62" s="55" t="s">
        <v>903</v>
      </c>
      <c r="H62" s="55" t="s">
        <v>138</v>
      </c>
      <c r="I62" s="55" t="s">
        <v>139</v>
      </c>
      <c r="J62" s="55" t="s">
        <v>136</v>
      </c>
      <c r="K62" s="55" t="b">
        <v>0</v>
      </c>
      <c r="L62" s="56">
        <v>45563.473796296297</v>
      </c>
      <c r="O62" s="55">
        <v>0</v>
      </c>
      <c r="P62" s="56">
        <v>25568.791666666672</v>
      </c>
      <c r="Q62" s="56">
        <v>45901.376944444448</v>
      </c>
      <c r="R62" s="57">
        <v>2</v>
      </c>
      <c r="S62" s="55" t="s">
        <v>140</v>
      </c>
      <c r="T62" s="57">
        <v>8192</v>
      </c>
      <c r="U62" s="55">
        <v>737</v>
      </c>
      <c r="V62" s="55">
        <v>3</v>
      </c>
      <c r="W62" s="55">
        <v>4</v>
      </c>
      <c r="X62" s="58">
        <v>757760</v>
      </c>
      <c r="Z62" s="55" t="s">
        <v>813</v>
      </c>
      <c r="AA62" s="55" t="s">
        <v>142</v>
      </c>
      <c r="AC62" s="55" t="b">
        <v>1</v>
      </c>
      <c r="AD62" s="55" t="b">
        <v>1</v>
      </c>
      <c r="AE62" s="55" t="s">
        <v>904</v>
      </c>
      <c r="AF62" s="55" t="s">
        <v>815</v>
      </c>
      <c r="AG62" s="55" t="s">
        <v>905</v>
      </c>
      <c r="AH62" s="55" t="s">
        <v>852</v>
      </c>
      <c r="AN62" s="55">
        <v>1</v>
      </c>
      <c r="AO62" s="55">
        <v>16384</v>
      </c>
      <c r="AP62" s="55" t="s">
        <v>818</v>
      </c>
      <c r="AQ62" s="55" t="s">
        <v>317</v>
      </c>
      <c r="AR62" s="55" t="s">
        <v>318</v>
      </c>
      <c r="AT62" s="55" t="b">
        <v>1</v>
      </c>
      <c r="AU62" s="55" t="s">
        <v>150</v>
      </c>
      <c r="AW62" s="55" t="s">
        <v>151</v>
      </c>
      <c r="AX62" s="55">
        <v>-1</v>
      </c>
      <c r="AY62" s="55">
        <v>-1</v>
      </c>
      <c r="BA62" s="55">
        <v>766135</v>
      </c>
      <c r="BB62" s="55">
        <v>766135</v>
      </c>
      <c r="BC62" s="55">
        <v>757760</v>
      </c>
      <c r="BD62" s="55" t="s">
        <v>152</v>
      </c>
      <c r="BE62" s="55" t="s">
        <v>153</v>
      </c>
      <c r="BF62" s="55" t="s">
        <v>154</v>
      </c>
      <c r="BI62" s="55" t="b">
        <v>0</v>
      </c>
      <c r="BJ62" s="55">
        <v>0</v>
      </c>
      <c r="BK62" s="55">
        <v>10000</v>
      </c>
      <c r="BL62" s="55" t="b">
        <v>0</v>
      </c>
      <c r="BM62" s="55" t="b">
        <v>0</v>
      </c>
      <c r="BO62" s="55" t="b">
        <v>0</v>
      </c>
      <c r="BP62" s="55" t="s">
        <v>155</v>
      </c>
      <c r="BQ62" s="55">
        <v>13</v>
      </c>
      <c r="BR62" s="55" t="s">
        <v>153</v>
      </c>
      <c r="BS62" s="55" t="s">
        <v>156</v>
      </c>
      <c r="BU62" s="55" t="s">
        <v>906</v>
      </c>
      <c r="BV62" s="55" t="s">
        <v>907</v>
      </c>
      <c r="BW62" s="55" t="s">
        <v>907</v>
      </c>
      <c r="BX62" s="55" t="s">
        <v>907</v>
      </c>
      <c r="BY62" s="55" t="s">
        <v>908</v>
      </c>
      <c r="BZ62" s="55" t="s">
        <v>909</v>
      </c>
      <c r="CA62" s="55" t="s">
        <v>910</v>
      </c>
      <c r="CB62" s="55" t="s">
        <v>911</v>
      </c>
      <c r="CI62" s="55" t="s">
        <v>161</v>
      </c>
      <c r="CJ62" s="55" t="s">
        <v>824</v>
      </c>
      <c r="CK62" s="55" t="s">
        <v>912</v>
      </c>
      <c r="CL62" s="55" t="s">
        <v>826</v>
      </c>
      <c r="CM62" s="55" t="s">
        <v>826</v>
      </c>
      <c r="CN62" s="55" t="s">
        <v>166</v>
      </c>
      <c r="CP62" s="55" t="s">
        <v>911</v>
      </c>
      <c r="CQ62" s="55" t="s">
        <v>913</v>
      </c>
      <c r="CR62" s="55" t="s">
        <v>914</v>
      </c>
      <c r="CS62" s="55" t="s">
        <v>170</v>
      </c>
      <c r="CT62" s="55" t="s">
        <v>171</v>
      </c>
      <c r="CU62" s="55" t="s">
        <v>172</v>
      </c>
      <c r="CV62" s="55" t="s">
        <v>173</v>
      </c>
    </row>
    <row r="63" spans="1:113">
      <c r="A63" s="55" t="s">
        <v>915</v>
      </c>
      <c r="B63" s="55" t="s">
        <v>916</v>
      </c>
      <c r="C63" s="55" t="s">
        <v>135</v>
      </c>
      <c r="D63" s="55" t="b">
        <v>0</v>
      </c>
      <c r="E63" s="55" t="b">
        <v>0</v>
      </c>
      <c r="F63" s="55" t="s">
        <v>136</v>
      </c>
      <c r="G63" s="55" t="s">
        <v>917</v>
      </c>
      <c r="H63" s="55" t="s">
        <v>138</v>
      </c>
      <c r="I63" s="55" t="s">
        <v>139</v>
      </c>
      <c r="J63" s="55" t="s">
        <v>136</v>
      </c>
      <c r="K63" s="55" t="b">
        <v>0</v>
      </c>
      <c r="L63" s="56">
        <v>45641.429293981477</v>
      </c>
      <c r="O63" s="55">
        <v>0</v>
      </c>
      <c r="P63" s="56">
        <v>25568.791666666672</v>
      </c>
      <c r="Q63" s="56">
        <v>45882.643217592587</v>
      </c>
      <c r="R63" s="57">
        <v>8</v>
      </c>
      <c r="T63" s="57">
        <v>4096</v>
      </c>
      <c r="U63" s="55">
        <v>327</v>
      </c>
      <c r="V63" s="55">
        <v>3</v>
      </c>
      <c r="W63" s="55">
        <v>2</v>
      </c>
      <c r="X63" s="58">
        <v>194560</v>
      </c>
      <c r="Z63" s="55" t="s">
        <v>832</v>
      </c>
      <c r="AA63" s="55" t="s">
        <v>142</v>
      </c>
      <c r="AD63" s="55" t="b">
        <v>1</v>
      </c>
      <c r="AE63" s="55" t="s">
        <v>918</v>
      </c>
      <c r="AF63" s="55" t="s">
        <v>834</v>
      </c>
      <c r="AG63" s="55" t="s">
        <v>835</v>
      </c>
      <c r="AH63" s="55" t="s">
        <v>836</v>
      </c>
      <c r="AN63" s="55">
        <v>1</v>
      </c>
      <c r="AO63" s="55">
        <v>4096</v>
      </c>
      <c r="AP63" s="55" t="s">
        <v>837</v>
      </c>
      <c r="AQ63" s="55" t="s">
        <v>317</v>
      </c>
      <c r="AR63" s="55" t="s">
        <v>318</v>
      </c>
      <c r="AT63" s="55" t="b">
        <v>1</v>
      </c>
      <c r="AU63" s="55" t="s">
        <v>150</v>
      </c>
      <c r="AW63" s="55" t="s">
        <v>151</v>
      </c>
      <c r="AX63" s="55">
        <v>-1</v>
      </c>
      <c r="AY63" s="55">
        <v>-1</v>
      </c>
      <c r="BA63" s="55">
        <v>198856</v>
      </c>
      <c r="BB63" s="55">
        <v>198856</v>
      </c>
      <c r="BC63" s="55">
        <v>194560</v>
      </c>
      <c r="BD63" s="55" t="s">
        <v>152</v>
      </c>
      <c r="BE63" s="55" t="s">
        <v>153</v>
      </c>
      <c r="BF63" s="55" t="s">
        <v>154</v>
      </c>
      <c r="BI63" s="55" t="b">
        <v>0</v>
      </c>
      <c r="BJ63" s="55">
        <v>0</v>
      </c>
      <c r="BK63" s="55">
        <v>10000</v>
      </c>
      <c r="BL63" s="55" t="b">
        <v>0</v>
      </c>
      <c r="BM63" s="55" t="b">
        <v>0</v>
      </c>
      <c r="BO63" s="55" t="b">
        <v>0</v>
      </c>
      <c r="BP63" s="55" t="s">
        <v>155</v>
      </c>
      <c r="BQ63" s="55">
        <v>13</v>
      </c>
      <c r="BR63" s="55" t="s">
        <v>153</v>
      </c>
      <c r="BS63" s="55" t="s">
        <v>156</v>
      </c>
      <c r="BU63" s="55" t="s">
        <v>919</v>
      </c>
      <c r="BV63" s="55" t="s">
        <v>920</v>
      </c>
      <c r="BW63" s="55" t="s">
        <v>920</v>
      </c>
      <c r="BX63" s="55" t="s">
        <v>920</v>
      </c>
      <c r="BZ63" s="55" t="s">
        <v>921</v>
      </c>
      <c r="CA63" s="55" t="s">
        <v>922</v>
      </c>
      <c r="CB63" s="55" t="s">
        <v>923</v>
      </c>
      <c r="CI63" s="55" t="s">
        <v>161</v>
      </c>
      <c r="CJ63" s="55" t="s">
        <v>844</v>
      </c>
      <c r="CK63" s="55" t="s">
        <v>881</v>
      </c>
      <c r="CL63" s="55" t="s">
        <v>846</v>
      </c>
      <c r="CM63" s="55" t="s">
        <v>846</v>
      </c>
      <c r="CP63" s="55" t="s">
        <v>923</v>
      </c>
      <c r="CQ63" s="55" t="s">
        <v>924</v>
      </c>
      <c r="CR63" s="55" t="s">
        <v>925</v>
      </c>
      <c r="CS63" s="55" t="s">
        <v>170</v>
      </c>
      <c r="CT63" s="55" t="s">
        <v>171</v>
      </c>
      <c r="CU63" s="55" t="s">
        <v>172</v>
      </c>
      <c r="CV63" s="55" t="s">
        <v>173</v>
      </c>
    </row>
    <row r="64" spans="1:113">
      <c r="A64" s="55" t="s">
        <v>926</v>
      </c>
      <c r="B64" s="55" t="s">
        <v>927</v>
      </c>
      <c r="C64" s="55" t="s">
        <v>135</v>
      </c>
      <c r="D64" s="55" t="b">
        <v>0</v>
      </c>
      <c r="E64" s="55" t="b">
        <v>0</v>
      </c>
      <c r="F64" s="55" t="s">
        <v>136</v>
      </c>
      <c r="G64" s="55" t="s">
        <v>928</v>
      </c>
      <c r="H64" s="55" t="s">
        <v>138</v>
      </c>
      <c r="I64" s="55" t="s">
        <v>139</v>
      </c>
      <c r="J64" s="55" t="s">
        <v>136</v>
      </c>
      <c r="K64" s="55" t="b">
        <v>0</v>
      </c>
      <c r="L64" s="56">
        <v>45897.638842592591</v>
      </c>
      <c r="O64" s="55">
        <v>0</v>
      </c>
      <c r="P64" s="56">
        <v>25568.791666666672</v>
      </c>
      <c r="Q64" s="56">
        <v>45897.676817129628</v>
      </c>
      <c r="R64" s="57">
        <v>2</v>
      </c>
      <c r="S64" s="55" t="s">
        <v>140</v>
      </c>
      <c r="T64" s="57">
        <v>8192</v>
      </c>
      <c r="U64" s="55">
        <v>655</v>
      </c>
      <c r="V64" s="55">
        <v>3</v>
      </c>
      <c r="W64" s="55">
        <v>1</v>
      </c>
      <c r="X64" s="58">
        <v>163840</v>
      </c>
      <c r="Z64" s="55" t="s">
        <v>311</v>
      </c>
      <c r="AA64" s="55" t="s">
        <v>142</v>
      </c>
      <c r="AC64" s="55" t="b">
        <v>1</v>
      </c>
      <c r="AD64" s="55" t="b">
        <v>1</v>
      </c>
      <c r="AE64" s="55" t="s">
        <v>929</v>
      </c>
      <c r="AF64" s="55" t="s">
        <v>654</v>
      </c>
      <c r="AG64" s="55" t="s">
        <v>930</v>
      </c>
      <c r="AH64" s="55" t="s">
        <v>315</v>
      </c>
      <c r="AN64" s="55">
        <v>1</v>
      </c>
      <c r="AO64" s="55">
        <v>16384</v>
      </c>
      <c r="AP64" s="55" t="s">
        <v>416</v>
      </c>
      <c r="AQ64" s="55" t="s">
        <v>317</v>
      </c>
      <c r="AR64" s="55" t="s">
        <v>318</v>
      </c>
      <c r="AT64" s="55" t="b">
        <v>1</v>
      </c>
      <c r="AU64" s="55" t="s">
        <v>150</v>
      </c>
      <c r="AW64" s="55" t="s">
        <v>151</v>
      </c>
      <c r="AX64" s="55">
        <v>-1</v>
      </c>
      <c r="AY64" s="55">
        <v>-1</v>
      </c>
      <c r="BA64" s="55">
        <v>172178</v>
      </c>
      <c r="BB64" s="55">
        <v>172178</v>
      </c>
      <c r="BC64" s="55">
        <v>163840</v>
      </c>
      <c r="BD64" s="55" t="s">
        <v>152</v>
      </c>
      <c r="BE64" s="55" t="s">
        <v>153</v>
      </c>
      <c r="BF64" s="55" t="s">
        <v>154</v>
      </c>
      <c r="BI64" s="55" t="b">
        <v>0</v>
      </c>
      <c r="BJ64" s="55">
        <v>0</v>
      </c>
      <c r="BK64" s="55">
        <v>10000</v>
      </c>
      <c r="BL64" s="55" t="b">
        <v>0</v>
      </c>
      <c r="BM64" s="55" t="b">
        <v>0</v>
      </c>
      <c r="BO64" s="55" t="b">
        <v>0</v>
      </c>
      <c r="BP64" s="55" t="s">
        <v>155</v>
      </c>
      <c r="BQ64" s="55">
        <v>19</v>
      </c>
      <c r="BR64" s="55" t="s">
        <v>153</v>
      </c>
      <c r="BS64" s="55" t="s">
        <v>156</v>
      </c>
      <c r="BU64" s="55" t="s">
        <v>931</v>
      </c>
      <c r="BV64" s="55" t="s">
        <v>932</v>
      </c>
      <c r="BW64" s="55" t="s">
        <v>932</v>
      </c>
      <c r="BX64" s="55" t="s">
        <v>932</v>
      </c>
      <c r="BZ64" s="55" t="s">
        <v>933</v>
      </c>
      <c r="CA64" s="55" t="s">
        <v>934</v>
      </c>
      <c r="CI64" s="55" t="s">
        <v>161</v>
      </c>
      <c r="CJ64" s="55" t="s">
        <v>323</v>
      </c>
      <c r="CK64" s="55" t="s">
        <v>446</v>
      </c>
      <c r="CL64" s="55" t="s">
        <v>826</v>
      </c>
      <c r="CM64" s="55" t="s">
        <v>826</v>
      </c>
      <c r="CN64" s="55" t="s">
        <v>166</v>
      </c>
      <c r="CP64" s="55" t="s">
        <v>935</v>
      </c>
      <c r="CQ64" s="55" t="s">
        <v>936</v>
      </c>
      <c r="CR64" s="55" t="s">
        <v>937</v>
      </c>
      <c r="CS64" s="55" t="s">
        <v>170</v>
      </c>
      <c r="CT64" s="55" t="s">
        <v>171</v>
      </c>
      <c r="CU64" s="55" t="s">
        <v>172</v>
      </c>
      <c r="CV64" s="55" t="s">
        <v>173</v>
      </c>
    </row>
    <row r="65" spans="1:113">
      <c r="A65" s="55" t="s">
        <v>938</v>
      </c>
      <c r="B65" s="55" t="s">
        <v>939</v>
      </c>
      <c r="C65" s="55" t="s">
        <v>135</v>
      </c>
      <c r="D65" s="55" t="b">
        <v>0</v>
      </c>
      <c r="E65" s="55" t="b">
        <v>0</v>
      </c>
      <c r="F65" s="55" t="s">
        <v>136</v>
      </c>
      <c r="G65" s="55" t="s">
        <v>940</v>
      </c>
      <c r="H65" s="55" t="s">
        <v>138</v>
      </c>
      <c r="I65" s="55" t="s">
        <v>139</v>
      </c>
      <c r="J65" s="55" t="s">
        <v>136</v>
      </c>
      <c r="K65" s="55" t="b">
        <v>0</v>
      </c>
      <c r="L65" s="56">
        <v>45777.797291666669</v>
      </c>
      <c r="O65" s="55">
        <v>0</v>
      </c>
      <c r="P65" s="56">
        <v>25568.791666666672</v>
      </c>
      <c r="Q65" s="56">
        <v>45777.797291666669</v>
      </c>
      <c r="R65" s="57">
        <v>2</v>
      </c>
      <c r="T65" s="57">
        <v>4096</v>
      </c>
      <c r="U65" s="55">
        <v>368</v>
      </c>
      <c r="V65" s="55">
        <v>3</v>
      </c>
      <c r="W65" s="55">
        <v>2</v>
      </c>
      <c r="X65" s="58">
        <v>122880</v>
      </c>
      <c r="Z65" s="55" t="s">
        <v>832</v>
      </c>
      <c r="AA65" s="55" t="s">
        <v>142</v>
      </c>
      <c r="AD65" s="55" t="b">
        <v>1</v>
      </c>
      <c r="AE65" s="55" t="s">
        <v>941</v>
      </c>
      <c r="AF65" s="55" t="s">
        <v>890</v>
      </c>
      <c r="AG65" s="55" t="s">
        <v>834</v>
      </c>
      <c r="AH65" s="55" t="s">
        <v>836</v>
      </c>
      <c r="AN65" s="55">
        <v>1</v>
      </c>
      <c r="AO65" s="55">
        <v>0</v>
      </c>
      <c r="AP65" s="55" t="s">
        <v>837</v>
      </c>
      <c r="AQ65" s="55" t="s">
        <v>317</v>
      </c>
      <c r="AR65" s="55" t="s">
        <v>318</v>
      </c>
      <c r="AT65" s="55" t="b">
        <v>1</v>
      </c>
      <c r="AU65" s="55" t="s">
        <v>150</v>
      </c>
      <c r="AW65" s="55" t="s">
        <v>151</v>
      </c>
      <c r="AX65" s="55">
        <v>-1</v>
      </c>
      <c r="AY65" s="55">
        <v>-1</v>
      </c>
      <c r="BA65" s="55">
        <v>127128</v>
      </c>
      <c r="BB65" s="55">
        <v>127128</v>
      </c>
      <c r="BC65" s="55">
        <v>122880</v>
      </c>
      <c r="BD65" s="55" t="s">
        <v>152</v>
      </c>
      <c r="BE65" s="55" t="s">
        <v>153</v>
      </c>
      <c r="BF65" s="55" t="s">
        <v>154</v>
      </c>
      <c r="BI65" s="55" t="b">
        <v>0</v>
      </c>
      <c r="BJ65" s="55">
        <v>0</v>
      </c>
      <c r="BK65" s="55">
        <v>10000</v>
      </c>
      <c r="BL65" s="55" t="b">
        <v>0</v>
      </c>
      <c r="BM65" s="55" t="b">
        <v>0</v>
      </c>
      <c r="BO65" s="55" t="b">
        <v>0</v>
      </c>
      <c r="BP65" s="55" t="s">
        <v>155</v>
      </c>
      <c r="BQ65" s="55">
        <v>13</v>
      </c>
      <c r="BR65" s="55" t="s">
        <v>153</v>
      </c>
      <c r="BS65" s="55" t="s">
        <v>156</v>
      </c>
      <c r="BU65" s="55" t="s">
        <v>942</v>
      </c>
      <c r="BV65" s="55" t="s">
        <v>943</v>
      </c>
      <c r="BW65" s="55" t="s">
        <v>943</v>
      </c>
      <c r="BX65" s="55" t="s">
        <v>943</v>
      </c>
      <c r="BY65" s="55" t="s">
        <v>944</v>
      </c>
      <c r="BZ65" s="55" t="s">
        <v>945</v>
      </c>
      <c r="CA65" s="55" t="s">
        <v>946</v>
      </c>
      <c r="CI65" s="55" t="s">
        <v>161</v>
      </c>
      <c r="CJ65" s="55" t="s">
        <v>844</v>
      </c>
      <c r="CK65" s="55" t="s">
        <v>845</v>
      </c>
      <c r="CL65" s="55" t="s">
        <v>947</v>
      </c>
      <c r="CM65" s="55" t="s">
        <v>947</v>
      </c>
      <c r="CP65" s="55" t="s">
        <v>948</v>
      </c>
      <c r="CQ65" s="55" t="s">
        <v>949</v>
      </c>
      <c r="CR65" s="55" t="s">
        <v>950</v>
      </c>
      <c r="CS65" s="55" t="s">
        <v>170</v>
      </c>
      <c r="CT65" s="55" t="s">
        <v>171</v>
      </c>
      <c r="CU65" s="55" t="s">
        <v>172</v>
      </c>
      <c r="CV65" s="55" t="s">
        <v>173</v>
      </c>
    </row>
    <row r="66" spans="1:113">
      <c r="A66" s="55" t="s">
        <v>951</v>
      </c>
      <c r="B66" s="55" t="s">
        <v>952</v>
      </c>
      <c r="C66" s="55" t="s">
        <v>135</v>
      </c>
      <c r="D66" s="55" t="b">
        <v>0</v>
      </c>
      <c r="E66" s="55" t="b">
        <v>0</v>
      </c>
      <c r="F66" s="55" t="s">
        <v>136</v>
      </c>
      <c r="G66" s="55" t="s">
        <v>953</v>
      </c>
      <c r="H66" s="55" t="s">
        <v>138</v>
      </c>
      <c r="I66" s="55" t="s">
        <v>139</v>
      </c>
      <c r="J66" s="55" t="s">
        <v>136</v>
      </c>
      <c r="K66" s="55" t="b">
        <v>0</v>
      </c>
      <c r="L66" s="56">
        <v>45622.476006944453</v>
      </c>
      <c r="O66" s="55">
        <v>0</v>
      </c>
      <c r="P66" s="56">
        <v>25568.791666666672</v>
      </c>
      <c r="Q66" s="56">
        <v>45882.64340277778</v>
      </c>
      <c r="R66" s="57">
        <v>4</v>
      </c>
      <c r="T66" s="57">
        <v>4096</v>
      </c>
      <c r="U66" s="55">
        <v>450</v>
      </c>
      <c r="V66" s="55">
        <v>3</v>
      </c>
      <c r="W66" s="55">
        <v>2</v>
      </c>
      <c r="X66" s="58">
        <v>133120</v>
      </c>
      <c r="Z66" s="55" t="s">
        <v>832</v>
      </c>
      <c r="AA66" s="55" t="s">
        <v>142</v>
      </c>
      <c r="AD66" s="55" t="b">
        <v>1</v>
      </c>
      <c r="AE66" s="55" t="s">
        <v>954</v>
      </c>
      <c r="AF66" s="55" t="s">
        <v>834</v>
      </c>
      <c r="AG66" s="55" t="s">
        <v>835</v>
      </c>
      <c r="AH66" s="55" t="s">
        <v>836</v>
      </c>
      <c r="AN66" s="55">
        <v>1</v>
      </c>
      <c r="AO66" s="55">
        <v>0</v>
      </c>
      <c r="AP66" s="55" t="s">
        <v>837</v>
      </c>
      <c r="AQ66" s="55" t="s">
        <v>317</v>
      </c>
      <c r="AR66" s="55" t="s">
        <v>318</v>
      </c>
      <c r="AT66" s="55" t="b">
        <v>1</v>
      </c>
      <c r="AU66" s="55" t="s">
        <v>150</v>
      </c>
      <c r="AW66" s="55" t="s">
        <v>151</v>
      </c>
      <c r="AX66" s="55">
        <v>-1</v>
      </c>
      <c r="AY66" s="55">
        <v>-1</v>
      </c>
      <c r="BA66" s="55">
        <v>137402</v>
      </c>
      <c r="BB66" s="55">
        <v>137402</v>
      </c>
      <c r="BC66" s="55">
        <v>133120</v>
      </c>
      <c r="BD66" s="55" t="s">
        <v>152</v>
      </c>
      <c r="BE66" s="55" t="s">
        <v>153</v>
      </c>
      <c r="BF66" s="55" t="s">
        <v>154</v>
      </c>
      <c r="BI66" s="55" t="b">
        <v>0</v>
      </c>
      <c r="BJ66" s="55">
        <v>0</v>
      </c>
      <c r="BK66" s="55">
        <v>10000</v>
      </c>
      <c r="BL66" s="55" t="b">
        <v>0</v>
      </c>
      <c r="BM66" s="55" t="b">
        <v>0</v>
      </c>
      <c r="BO66" s="55" t="b">
        <v>0</v>
      </c>
      <c r="BP66" s="55" t="s">
        <v>155</v>
      </c>
      <c r="BQ66" s="55">
        <v>13</v>
      </c>
      <c r="BR66" s="55" t="s">
        <v>153</v>
      </c>
      <c r="BS66" s="55" t="s">
        <v>156</v>
      </c>
      <c r="BU66" s="55" t="s">
        <v>955</v>
      </c>
      <c r="BV66" s="55" t="s">
        <v>956</v>
      </c>
      <c r="BW66" s="55" t="s">
        <v>956</v>
      </c>
      <c r="BX66" s="55" t="s">
        <v>956</v>
      </c>
      <c r="BZ66" s="55" t="s">
        <v>957</v>
      </c>
      <c r="CA66" s="55" t="s">
        <v>958</v>
      </c>
      <c r="CB66" s="55" t="s">
        <v>959</v>
      </c>
      <c r="CI66" s="55" t="s">
        <v>161</v>
      </c>
      <c r="CJ66" s="55" t="s">
        <v>844</v>
      </c>
      <c r="CK66" s="55" t="s">
        <v>845</v>
      </c>
      <c r="CL66" s="55" t="s">
        <v>846</v>
      </c>
      <c r="CM66" s="55" t="s">
        <v>846</v>
      </c>
      <c r="CP66" s="55" t="s">
        <v>959</v>
      </c>
      <c r="CQ66" s="55" t="s">
        <v>960</v>
      </c>
      <c r="CR66" s="55" t="s">
        <v>961</v>
      </c>
      <c r="CS66" s="55" t="s">
        <v>170</v>
      </c>
      <c r="CT66" s="55" t="s">
        <v>171</v>
      </c>
      <c r="CU66" s="55" t="s">
        <v>172</v>
      </c>
      <c r="CV66" s="55" t="s">
        <v>173</v>
      </c>
    </row>
    <row r="67" spans="1:113">
      <c r="A67" s="55" t="s">
        <v>962</v>
      </c>
      <c r="B67" s="55" t="s">
        <v>963</v>
      </c>
      <c r="C67" s="55" t="s">
        <v>135</v>
      </c>
      <c r="D67" s="55" t="b">
        <v>0</v>
      </c>
      <c r="E67" s="55" t="b">
        <v>0</v>
      </c>
      <c r="F67" s="55" t="s">
        <v>136</v>
      </c>
      <c r="G67" s="55" t="s">
        <v>964</v>
      </c>
      <c r="H67" s="55" t="s">
        <v>138</v>
      </c>
      <c r="I67" s="55" t="s">
        <v>139</v>
      </c>
      <c r="J67" s="55" t="s">
        <v>136</v>
      </c>
      <c r="K67" s="55" t="b">
        <v>0</v>
      </c>
      <c r="L67" s="56">
        <v>45777.799155092587</v>
      </c>
      <c r="O67" s="55">
        <v>0</v>
      </c>
      <c r="P67" s="56">
        <v>25568.791666666672</v>
      </c>
      <c r="Q67" s="56">
        <v>45777.799131944441</v>
      </c>
      <c r="R67" s="57">
        <v>8</v>
      </c>
      <c r="T67" s="57">
        <v>16384</v>
      </c>
      <c r="U67" s="55">
        <v>7864</v>
      </c>
      <c r="V67" s="55">
        <v>3</v>
      </c>
      <c r="W67" s="55">
        <v>21</v>
      </c>
      <c r="X67" s="58">
        <v>62935040</v>
      </c>
      <c r="Z67" s="55" t="s">
        <v>832</v>
      </c>
      <c r="AA67" s="55" t="s">
        <v>142</v>
      </c>
      <c r="AD67" s="55" t="b">
        <v>1</v>
      </c>
      <c r="AE67" s="55" t="s">
        <v>965</v>
      </c>
      <c r="AF67" s="55" t="s">
        <v>835</v>
      </c>
      <c r="AG67" s="55" t="s">
        <v>834</v>
      </c>
      <c r="AH67" s="55" t="s">
        <v>836</v>
      </c>
      <c r="AN67" s="55">
        <v>1</v>
      </c>
      <c r="AO67" s="55">
        <v>0</v>
      </c>
      <c r="AP67" s="55" t="s">
        <v>837</v>
      </c>
      <c r="AQ67" s="55" t="s">
        <v>317</v>
      </c>
      <c r="AR67" s="55" t="s">
        <v>318</v>
      </c>
      <c r="AT67" s="55" t="b">
        <v>1</v>
      </c>
      <c r="AU67" s="55" t="s">
        <v>150</v>
      </c>
      <c r="AW67" s="55" t="s">
        <v>151</v>
      </c>
      <c r="AX67" s="55">
        <v>-1</v>
      </c>
      <c r="AY67" s="55">
        <v>-1</v>
      </c>
      <c r="BA67" s="55">
        <v>62952634</v>
      </c>
      <c r="BB67" s="55">
        <v>62952634</v>
      </c>
      <c r="BC67" s="55">
        <v>62935040</v>
      </c>
      <c r="BD67" s="55" t="s">
        <v>152</v>
      </c>
      <c r="BE67" s="55" t="s">
        <v>153</v>
      </c>
      <c r="BF67" s="55" t="s">
        <v>154</v>
      </c>
      <c r="BI67" s="55" t="b">
        <v>0</v>
      </c>
      <c r="BJ67" s="55">
        <v>400</v>
      </c>
      <c r="BK67" s="55">
        <v>10000</v>
      </c>
      <c r="BL67" s="55" t="b">
        <v>0</v>
      </c>
      <c r="BM67" s="55" t="b">
        <v>0</v>
      </c>
      <c r="BO67" s="55" t="b">
        <v>0</v>
      </c>
      <c r="BP67" s="55" t="s">
        <v>155</v>
      </c>
      <c r="BQ67" s="55">
        <v>13</v>
      </c>
      <c r="BR67" s="55" t="s">
        <v>153</v>
      </c>
      <c r="BS67" s="55" t="s">
        <v>156</v>
      </c>
      <c r="BU67" s="55" t="s">
        <v>966</v>
      </c>
      <c r="BV67" s="55" t="s">
        <v>967</v>
      </c>
      <c r="BW67" s="55" t="s">
        <v>967</v>
      </c>
      <c r="BX67" s="55" t="s">
        <v>967</v>
      </c>
      <c r="BY67" s="55" t="s">
        <v>968</v>
      </c>
      <c r="BZ67" s="55" t="s">
        <v>969</v>
      </c>
      <c r="CA67" s="55" t="s">
        <v>970</v>
      </c>
      <c r="CI67" s="55" t="s">
        <v>161</v>
      </c>
      <c r="CJ67" s="55" t="s">
        <v>844</v>
      </c>
      <c r="CK67" s="55" t="s">
        <v>845</v>
      </c>
      <c r="CL67" s="55" t="s">
        <v>971</v>
      </c>
      <c r="CM67" s="55" t="s">
        <v>972</v>
      </c>
      <c r="CP67" s="55" t="s">
        <v>973</v>
      </c>
      <c r="CQ67" s="55" t="s">
        <v>974</v>
      </c>
      <c r="CR67" s="55" t="s">
        <v>975</v>
      </c>
      <c r="CS67" s="55" t="s">
        <v>170</v>
      </c>
      <c r="CT67" s="55" t="s">
        <v>171</v>
      </c>
      <c r="CU67" s="55" t="s">
        <v>172</v>
      </c>
      <c r="CV67" s="55" t="s">
        <v>173</v>
      </c>
    </row>
    <row r="68" spans="1:113">
      <c r="A68" s="55" t="s">
        <v>976</v>
      </c>
      <c r="B68" s="55" t="s">
        <v>977</v>
      </c>
      <c r="C68" s="55" t="s">
        <v>135</v>
      </c>
      <c r="D68" s="55" t="b">
        <v>0</v>
      </c>
      <c r="E68" s="55" t="b">
        <v>0</v>
      </c>
      <c r="F68" s="55" t="s">
        <v>136</v>
      </c>
      <c r="G68" s="55" t="s">
        <v>978</v>
      </c>
      <c r="H68" s="55" t="s">
        <v>138</v>
      </c>
      <c r="I68" s="55" t="s">
        <v>139</v>
      </c>
      <c r="J68" s="55" t="s">
        <v>136</v>
      </c>
      <c r="K68" s="55" t="b">
        <v>0</v>
      </c>
      <c r="L68" s="56">
        <v>45773.996574074074</v>
      </c>
      <c r="O68" s="55">
        <v>0</v>
      </c>
      <c r="P68" s="56">
        <v>25568.791666666672</v>
      </c>
      <c r="Q68" s="56">
        <v>45882.643495370372</v>
      </c>
      <c r="R68" s="57">
        <v>4</v>
      </c>
      <c r="T68" s="57">
        <v>4096</v>
      </c>
      <c r="U68" s="55">
        <v>942</v>
      </c>
      <c r="V68" s="55">
        <v>3</v>
      </c>
      <c r="W68" s="55">
        <v>1</v>
      </c>
      <c r="X68" s="58">
        <v>153600</v>
      </c>
      <c r="Z68" s="55" t="s">
        <v>832</v>
      </c>
      <c r="AA68" s="55" t="s">
        <v>142</v>
      </c>
      <c r="AC68" s="55" t="b">
        <v>1</v>
      </c>
      <c r="AD68" s="55" t="b">
        <v>1</v>
      </c>
      <c r="AE68" s="55" t="s">
        <v>979</v>
      </c>
      <c r="AF68" s="55" t="s">
        <v>835</v>
      </c>
      <c r="AG68" s="55" t="s">
        <v>836</v>
      </c>
      <c r="AH68" s="55" t="s">
        <v>834</v>
      </c>
      <c r="AN68" s="55">
        <v>1</v>
      </c>
      <c r="AO68" s="55">
        <v>0</v>
      </c>
      <c r="AP68" s="55" t="s">
        <v>837</v>
      </c>
      <c r="AQ68" s="55" t="s">
        <v>317</v>
      </c>
      <c r="AR68" s="55" t="s">
        <v>318</v>
      </c>
      <c r="AT68" s="55" t="b">
        <v>1</v>
      </c>
      <c r="AU68" s="55" t="s">
        <v>150</v>
      </c>
      <c r="AW68" s="55" t="s">
        <v>151</v>
      </c>
      <c r="AX68" s="55">
        <v>-1</v>
      </c>
      <c r="AY68" s="55">
        <v>-1</v>
      </c>
      <c r="BA68" s="55">
        <v>157817</v>
      </c>
      <c r="BB68" s="55">
        <v>157817</v>
      </c>
      <c r="BC68" s="55">
        <v>153600</v>
      </c>
      <c r="BD68" s="55" t="s">
        <v>152</v>
      </c>
      <c r="BE68" s="55" t="s">
        <v>153</v>
      </c>
      <c r="BF68" s="55" t="s">
        <v>154</v>
      </c>
      <c r="BI68" s="55" t="b">
        <v>0</v>
      </c>
      <c r="BJ68" s="55">
        <v>0</v>
      </c>
      <c r="BK68" s="55">
        <v>10000</v>
      </c>
      <c r="BL68" s="55" t="b">
        <v>0</v>
      </c>
      <c r="BM68" s="55" t="b">
        <v>0</v>
      </c>
      <c r="BO68" s="55" t="b">
        <v>0</v>
      </c>
      <c r="BP68" s="55" t="s">
        <v>155</v>
      </c>
      <c r="BQ68" s="55">
        <v>13</v>
      </c>
      <c r="BR68" s="55" t="s">
        <v>153</v>
      </c>
      <c r="BS68" s="55" t="s">
        <v>156</v>
      </c>
      <c r="BU68" s="55" t="s">
        <v>980</v>
      </c>
      <c r="BV68" s="55" t="s">
        <v>981</v>
      </c>
      <c r="BW68" s="55" t="s">
        <v>981</v>
      </c>
      <c r="BX68" s="55" t="s">
        <v>981</v>
      </c>
      <c r="BZ68" s="55" t="s">
        <v>982</v>
      </c>
      <c r="CA68" s="55" t="s">
        <v>983</v>
      </c>
      <c r="CI68" s="55" t="s">
        <v>161</v>
      </c>
      <c r="CJ68" s="55" t="s">
        <v>844</v>
      </c>
      <c r="CK68" s="55" t="s">
        <v>896</v>
      </c>
      <c r="CL68" s="55" t="s">
        <v>882</v>
      </c>
      <c r="CM68" s="55" t="s">
        <v>882</v>
      </c>
      <c r="CP68" s="55" t="s">
        <v>984</v>
      </c>
      <c r="CQ68" s="55" t="s">
        <v>985</v>
      </c>
      <c r="CR68" s="55" t="s">
        <v>986</v>
      </c>
      <c r="CS68" s="55" t="s">
        <v>170</v>
      </c>
      <c r="CT68" s="55" t="s">
        <v>171</v>
      </c>
      <c r="CU68" s="55" t="s">
        <v>172</v>
      </c>
      <c r="CV68" s="55" t="s">
        <v>173</v>
      </c>
    </row>
    <row r="69" spans="1:113" s="49" customFormat="1">
      <c r="A69" s="55" t="s">
        <v>987</v>
      </c>
      <c r="B69" s="55" t="s">
        <v>988</v>
      </c>
      <c r="C69" s="55" t="s">
        <v>135</v>
      </c>
      <c r="D69" s="55" t="b">
        <v>0</v>
      </c>
      <c r="E69" s="55" t="b">
        <v>0</v>
      </c>
      <c r="F69" s="55" t="s">
        <v>136</v>
      </c>
      <c r="G69" s="55" t="s">
        <v>989</v>
      </c>
      <c r="H69" s="55" t="s">
        <v>138</v>
      </c>
      <c r="I69" s="55" t="s">
        <v>139</v>
      </c>
      <c r="J69" s="55" t="s">
        <v>136</v>
      </c>
      <c r="K69" s="55" t="b">
        <v>0</v>
      </c>
      <c r="L69" s="56">
        <v>44938.522986111107</v>
      </c>
      <c r="M69" s="55"/>
      <c r="N69" s="55"/>
      <c r="O69" s="55">
        <v>0</v>
      </c>
      <c r="P69" s="56">
        <v>25568.791666666672</v>
      </c>
      <c r="Q69" s="56">
        <v>45882.643576388888</v>
      </c>
      <c r="R69" s="57">
        <v>4</v>
      </c>
      <c r="S69" s="55"/>
      <c r="T69" s="57">
        <v>4096</v>
      </c>
      <c r="U69" s="55">
        <v>245</v>
      </c>
      <c r="V69" s="55">
        <v>3</v>
      </c>
      <c r="W69" s="55">
        <v>1</v>
      </c>
      <c r="X69" s="58">
        <v>115712</v>
      </c>
      <c r="Y69" s="55"/>
      <c r="Z69" s="55" t="s">
        <v>832</v>
      </c>
      <c r="AA69" s="55" t="s">
        <v>142</v>
      </c>
      <c r="AB69" s="55"/>
      <c r="AC69" s="55"/>
      <c r="AD69" s="55" t="b">
        <v>1</v>
      </c>
      <c r="AE69" s="55" t="s">
        <v>990</v>
      </c>
      <c r="AF69" s="55" t="s">
        <v>834</v>
      </c>
      <c r="AG69" s="55" t="s">
        <v>890</v>
      </c>
      <c r="AH69" s="55" t="s">
        <v>836</v>
      </c>
      <c r="AI69" s="55"/>
      <c r="AJ69" s="55"/>
      <c r="AK69" s="55"/>
      <c r="AL69" s="55"/>
      <c r="AM69" s="55"/>
      <c r="AN69" s="55">
        <v>1</v>
      </c>
      <c r="AO69" s="55">
        <v>0</v>
      </c>
      <c r="AP69" s="55" t="s">
        <v>837</v>
      </c>
      <c r="AQ69" s="55" t="s">
        <v>317</v>
      </c>
      <c r="AR69" s="55" t="s">
        <v>318</v>
      </c>
      <c r="AS69" s="55"/>
      <c r="AT69" s="55" t="b">
        <v>1</v>
      </c>
      <c r="AU69" s="55" t="s">
        <v>150</v>
      </c>
      <c r="AV69" s="55"/>
      <c r="AW69" s="55" t="s">
        <v>151</v>
      </c>
      <c r="AX69" s="55">
        <v>-1</v>
      </c>
      <c r="AY69" s="55">
        <v>-1</v>
      </c>
      <c r="AZ69" s="55"/>
      <c r="BA69" s="55">
        <v>119968</v>
      </c>
      <c r="BB69" s="55">
        <v>119968</v>
      </c>
      <c r="BC69" s="55">
        <v>115712</v>
      </c>
      <c r="BD69" s="55" t="s">
        <v>152</v>
      </c>
      <c r="BE69" s="55" t="s">
        <v>153</v>
      </c>
      <c r="BF69" s="55" t="s">
        <v>154</v>
      </c>
      <c r="BG69" s="55"/>
      <c r="BH69" s="55"/>
      <c r="BI69" s="55" t="b">
        <v>0</v>
      </c>
      <c r="BJ69" s="55">
        <v>0</v>
      </c>
      <c r="BK69" s="55">
        <v>10000</v>
      </c>
      <c r="BL69" s="55" t="b">
        <v>0</v>
      </c>
      <c r="BM69" s="55" t="b">
        <v>0</v>
      </c>
      <c r="BN69" s="55"/>
      <c r="BO69" s="55" t="b">
        <v>0</v>
      </c>
      <c r="BP69" s="55" t="s">
        <v>155</v>
      </c>
      <c r="BQ69" s="55">
        <v>13</v>
      </c>
      <c r="BR69" s="55" t="s">
        <v>153</v>
      </c>
      <c r="BS69" s="55" t="s">
        <v>156</v>
      </c>
      <c r="BT69" s="55"/>
      <c r="BU69" s="55" t="s">
        <v>991</v>
      </c>
      <c r="BV69" s="55" t="s">
        <v>992</v>
      </c>
      <c r="BW69" s="55" t="s">
        <v>992</v>
      </c>
      <c r="BX69" s="55" t="s">
        <v>992</v>
      </c>
      <c r="BY69" s="55" t="s">
        <v>993</v>
      </c>
      <c r="BZ69" s="55" t="s">
        <v>994</v>
      </c>
      <c r="CA69" s="55" t="s">
        <v>995</v>
      </c>
      <c r="CB69" s="55"/>
      <c r="CC69" s="55"/>
      <c r="CD69" s="55"/>
      <c r="CE69" s="55"/>
      <c r="CF69" s="55"/>
      <c r="CG69" s="55"/>
      <c r="CH69" s="55"/>
      <c r="CI69" s="55" t="s">
        <v>161</v>
      </c>
      <c r="CJ69" s="55" t="s">
        <v>844</v>
      </c>
      <c r="CK69" s="55" t="s">
        <v>896</v>
      </c>
      <c r="CL69" s="55" t="s">
        <v>846</v>
      </c>
      <c r="CM69" s="55" t="s">
        <v>846</v>
      </c>
      <c r="CN69" s="55"/>
      <c r="CO69" s="55"/>
      <c r="CP69" s="55" t="s">
        <v>996</v>
      </c>
      <c r="CQ69" s="55" t="s">
        <v>997</v>
      </c>
      <c r="CR69" s="55" t="s">
        <v>998</v>
      </c>
      <c r="CS69" s="55" t="s">
        <v>170</v>
      </c>
      <c r="CT69" s="55" t="s">
        <v>171</v>
      </c>
      <c r="CU69" s="55" t="s">
        <v>172</v>
      </c>
      <c r="CV69" s="55" t="s">
        <v>173</v>
      </c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</row>
    <row r="70" spans="1:113">
      <c r="A70" s="55" t="s">
        <v>999</v>
      </c>
      <c r="B70" s="55" t="s">
        <v>1000</v>
      </c>
      <c r="C70" s="55" t="s">
        <v>135</v>
      </c>
      <c r="D70" s="55" t="b">
        <v>0</v>
      </c>
      <c r="E70" s="55" t="b">
        <v>0</v>
      </c>
      <c r="F70" s="55" t="s">
        <v>136</v>
      </c>
      <c r="G70" s="55" t="s">
        <v>1001</v>
      </c>
      <c r="H70" s="55" t="s">
        <v>138</v>
      </c>
      <c r="I70" s="55" t="s">
        <v>139</v>
      </c>
      <c r="J70" s="55" t="s">
        <v>136</v>
      </c>
      <c r="K70" s="55" t="b">
        <v>0</v>
      </c>
      <c r="L70" s="56">
        <v>45847.508668981478</v>
      </c>
      <c r="O70" s="55">
        <v>0</v>
      </c>
      <c r="P70" s="56">
        <v>25568.791666666672</v>
      </c>
      <c r="Q70" s="56">
        <v>44938.524131944447</v>
      </c>
      <c r="R70" s="57">
        <v>4</v>
      </c>
      <c r="T70" s="57">
        <v>16384</v>
      </c>
      <c r="U70" s="55">
        <v>163</v>
      </c>
      <c r="V70" s="55">
        <v>3</v>
      </c>
      <c r="W70" s="55">
        <v>1</v>
      </c>
      <c r="X70" s="58">
        <v>204800</v>
      </c>
      <c r="Z70" s="55" t="s">
        <v>832</v>
      </c>
      <c r="AA70" s="55" t="s">
        <v>142</v>
      </c>
      <c r="AD70" s="55" t="b">
        <v>1</v>
      </c>
      <c r="AE70" s="55" t="s">
        <v>1002</v>
      </c>
      <c r="AF70" s="55" t="s">
        <v>834</v>
      </c>
      <c r="AG70" s="55" t="s">
        <v>835</v>
      </c>
      <c r="AH70" s="55" t="s">
        <v>836</v>
      </c>
      <c r="AN70" s="55">
        <v>1</v>
      </c>
      <c r="AO70" s="55">
        <v>0</v>
      </c>
      <c r="AP70" s="55" t="s">
        <v>837</v>
      </c>
      <c r="AQ70" s="55" t="s">
        <v>317</v>
      </c>
      <c r="AR70" s="55" t="s">
        <v>318</v>
      </c>
      <c r="AT70" s="55" t="b">
        <v>1</v>
      </c>
      <c r="AU70" s="55" t="s">
        <v>150</v>
      </c>
      <c r="AW70" s="55" t="s">
        <v>151</v>
      </c>
      <c r="AX70" s="55">
        <v>-1</v>
      </c>
      <c r="AY70" s="55">
        <v>-1</v>
      </c>
      <c r="BA70" s="55">
        <v>221324</v>
      </c>
      <c r="BB70" s="55">
        <v>221324</v>
      </c>
      <c r="BC70" s="55">
        <v>204800</v>
      </c>
      <c r="BD70" s="55" t="s">
        <v>152</v>
      </c>
      <c r="BE70" s="55" t="s">
        <v>153</v>
      </c>
      <c r="BF70" s="55" t="s">
        <v>154</v>
      </c>
      <c r="BI70" s="55" t="b">
        <v>0</v>
      </c>
      <c r="BJ70" s="55">
        <v>0</v>
      </c>
      <c r="BK70" s="55">
        <v>10000</v>
      </c>
      <c r="BL70" s="55" t="b">
        <v>0</v>
      </c>
      <c r="BM70" s="55" t="b">
        <v>0</v>
      </c>
      <c r="BO70" s="55" t="b">
        <v>0</v>
      </c>
      <c r="BP70" s="55" t="s">
        <v>155</v>
      </c>
      <c r="BQ70" s="55">
        <v>13</v>
      </c>
      <c r="BR70" s="55" t="s">
        <v>153</v>
      </c>
      <c r="BS70" s="55" t="s">
        <v>156</v>
      </c>
      <c r="BU70" s="55" t="s">
        <v>1003</v>
      </c>
      <c r="BV70" s="55" t="s">
        <v>1004</v>
      </c>
      <c r="BW70" s="55" t="s">
        <v>1004</v>
      </c>
      <c r="BX70" s="55" t="s">
        <v>1004</v>
      </c>
      <c r="BY70" s="55" t="s">
        <v>1005</v>
      </c>
      <c r="BZ70" s="55" t="s">
        <v>1006</v>
      </c>
      <c r="CA70" s="55" t="s">
        <v>1007</v>
      </c>
      <c r="CI70" s="55" t="s">
        <v>161</v>
      </c>
      <c r="CJ70" s="55" t="s">
        <v>844</v>
      </c>
      <c r="CK70" s="55" t="s">
        <v>896</v>
      </c>
      <c r="CL70" s="55" t="s">
        <v>1008</v>
      </c>
      <c r="CM70" s="55" t="s">
        <v>1008</v>
      </c>
      <c r="CP70" s="55" t="s">
        <v>1009</v>
      </c>
      <c r="CQ70" s="55" t="s">
        <v>1010</v>
      </c>
      <c r="CR70" s="55" t="s">
        <v>1011</v>
      </c>
      <c r="CS70" s="55" t="s">
        <v>170</v>
      </c>
      <c r="CT70" s="55" t="s">
        <v>171</v>
      </c>
      <c r="CU70" s="55" t="s">
        <v>172</v>
      </c>
      <c r="CV70" s="55" t="s">
        <v>173</v>
      </c>
    </row>
    <row r="71" spans="1:113">
      <c r="A71" s="49" t="s">
        <v>1012</v>
      </c>
      <c r="B71" s="49" t="s">
        <v>1013</v>
      </c>
      <c r="C71" s="49" t="s">
        <v>732</v>
      </c>
      <c r="D71" s="49" t="b">
        <v>0</v>
      </c>
      <c r="E71" s="49" t="b">
        <v>0</v>
      </c>
      <c r="F71" s="49" t="s">
        <v>136</v>
      </c>
      <c r="G71" s="49" t="s">
        <v>1014</v>
      </c>
      <c r="H71" s="49" t="s">
        <v>138</v>
      </c>
      <c r="I71" s="49" t="s">
        <v>474</v>
      </c>
      <c r="J71" s="49" t="s">
        <v>151</v>
      </c>
      <c r="K71" s="49" t="b">
        <v>0</v>
      </c>
      <c r="L71" s="49"/>
      <c r="M71" s="49"/>
      <c r="N71" s="49"/>
      <c r="O71" s="49">
        <v>0</v>
      </c>
      <c r="P71" s="50">
        <v>25568.791666666672</v>
      </c>
      <c r="Q71" s="50">
        <v>45856.724907407413</v>
      </c>
      <c r="R71" s="51">
        <v>2</v>
      </c>
      <c r="S71" s="49"/>
      <c r="T71" s="51">
        <v>8192</v>
      </c>
      <c r="U71" s="49">
        <v>0</v>
      </c>
      <c r="V71" s="49">
        <v>3</v>
      </c>
      <c r="W71" s="49">
        <v>2</v>
      </c>
      <c r="X71" s="52">
        <v>430080</v>
      </c>
      <c r="Y71" s="49"/>
      <c r="Z71" s="49"/>
      <c r="AA71" s="49" t="s">
        <v>142</v>
      </c>
      <c r="AB71" s="49"/>
      <c r="AC71" s="49" t="b">
        <v>1</v>
      </c>
      <c r="AD71" s="49" t="b">
        <v>1</v>
      </c>
      <c r="AE71" s="49"/>
      <c r="AF71" s="49" t="s">
        <v>930</v>
      </c>
      <c r="AG71" s="49" t="s">
        <v>654</v>
      </c>
      <c r="AH71" s="49" t="s">
        <v>315</v>
      </c>
      <c r="AI71" s="49"/>
      <c r="AJ71" s="49"/>
      <c r="AK71" s="49"/>
      <c r="AL71" s="49"/>
      <c r="AM71" s="49"/>
      <c r="AN71" s="49">
        <v>1</v>
      </c>
      <c r="AO71" s="49">
        <v>4096</v>
      </c>
      <c r="AP71" s="49" t="s">
        <v>416</v>
      </c>
      <c r="AQ71" s="49" t="s">
        <v>317</v>
      </c>
      <c r="AR71" s="49" t="s">
        <v>318</v>
      </c>
      <c r="AS71" s="49"/>
      <c r="AT71" s="49"/>
      <c r="AU71" s="49" t="s">
        <v>150</v>
      </c>
      <c r="AV71" s="49"/>
      <c r="AW71" s="49" t="s">
        <v>151</v>
      </c>
      <c r="AX71" s="49">
        <v>-1</v>
      </c>
      <c r="AY71" s="49">
        <v>-1</v>
      </c>
      <c r="AZ71" s="49"/>
      <c r="BA71" s="49">
        <v>438639</v>
      </c>
      <c r="BB71" s="49">
        <v>430189</v>
      </c>
      <c r="BC71" s="49">
        <v>430080</v>
      </c>
      <c r="BD71" s="49" t="s">
        <v>152</v>
      </c>
      <c r="BE71" s="49" t="s">
        <v>153</v>
      </c>
      <c r="BF71" s="49" t="s">
        <v>154</v>
      </c>
      <c r="BG71" s="49"/>
      <c r="BH71" s="49"/>
      <c r="BI71" s="49" t="b">
        <v>0</v>
      </c>
      <c r="BJ71" s="49">
        <v>0</v>
      </c>
      <c r="BK71" s="49">
        <v>10000</v>
      </c>
      <c r="BL71" s="49" t="b">
        <v>0</v>
      </c>
      <c r="BM71" s="49" t="b">
        <v>0</v>
      </c>
      <c r="BN71" s="49"/>
      <c r="BO71" s="49" t="b">
        <v>0</v>
      </c>
      <c r="BP71" s="49" t="s">
        <v>155</v>
      </c>
      <c r="BQ71" s="49">
        <v>19</v>
      </c>
      <c r="BR71" s="49" t="s">
        <v>153</v>
      </c>
      <c r="BS71" s="49" t="s">
        <v>156</v>
      </c>
      <c r="BT71" s="49"/>
      <c r="BU71" s="49" t="s">
        <v>1015</v>
      </c>
      <c r="BV71" s="49" t="s">
        <v>1016</v>
      </c>
      <c r="BW71" s="49" t="s">
        <v>1016</v>
      </c>
      <c r="BX71" s="49" t="s">
        <v>1016</v>
      </c>
      <c r="BY71" s="49"/>
      <c r="BZ71" s="49" t="s">
        <v>1017</v>
      </c>
      <c r="CA71" s="49" t="s">
        <v>1018</v>
      </c>
      <c r="CB71" s="49"/>
      <c r="CC71" s="49"/>
      <c r="CD71" s="49"/>
      <c r="CE71" s="49"/>
      <c r="CF71" s="49"/>
      <c r="CG71" s="49"/>
      <c r="CH71" s="49"/>
      <c r="CI71" s="49" t="s">
        <v>161</v>
      </c>
      <c r="CJ71" s="49" t="s">
        <v>323</v>
      </c>
      <c r="CK71" s="49" t="s">
        <v>408</v>
      </c>
      <c r="CL71" s="49" t="s">
        <v>826</v>
      </c>
      <c r="CM71" s="49" t="s">
        <v>826</v>
      </c>
      <c r="CN71" s="49"/>
      <c r="CO71" s="49"/>
      <c r="CP71" s="49" t="s">
        <v>1019</v>
      </c>
      <c r="CQ71" s="49" t="s">
        <v>1020</v>
      </c>
      <c r="CR71" s="49" t="s">
        <v>1021</v>
      </c>
      <c r="CS71" s="49" t="s">
        <v>170</v>
      </c>
      <c r="CT71" s="49" t="s">
        <v>171</v>
      </c>
      <c r="CU71" s="49" t="s">
        <v>172</v>
      </c>
      <c r="CV71" s="49" t="s">
        <v>173</v>
      </c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</row>
    <row r="72" spans="1:113">
      <c r="A72" s="55" t="s">
        <v>1022</v>
      </c>
      <c r="B72" s="55" t="s">
        <v>1023</v>
      </c>
      <c r="C72" s="55" t="s">
        <v>135</v>
      </c>
      <c r="D72" s="55" t="b">
        <v>0</v>
      </c>
      <c r="E72" s="55" t="b">
        <v>0</v>
      </c>
      <c r="F72" s="55" t="s">
        <v>136</v>
      </c>
      <c r="G72" s="55" t="s">
        <v>1024</v>
      </c>
      <c r="H72" s="55" t="s">
        <v>138</v>
      </c>
      <c r="I72" s="55" t="s">
        <v>139</v>
      </c>
      <c r="J72" s="55" t="s">
        <v>151</v>
      </c>
      <c r="K72" s="55" t="b">
        <v>0</v>
      </c>
      <c r="L72" s="56">
        <v>45901.729768518519</v>
      </c>
      <c r="O72" s="55">
        <v>0</v>
      </c>
      <c r="P72" s="56">
        <v>25568.791666666672</v>
      </c>
      <c r="Q72" s="56">
        <v>45897.641134259262</v>
      </c>
      <c r="R72" s="57">
        <v>2</v>
      </c>
      <c r="S72" s="55" t="s">
        <v>140</v>
      </c>
      <c r="T72" s="57">
        <v>4096</v>
      </c>
      <c r="U72" s="55">
        <v>368</v>
      </c>
      <c r="V72" s="55">
        <v>3</v>
      </c>
      <c r="W72" s="55">
        <v>2</v>
      </c>
      <c r="X72" s="58">
        <v>61440</v>
      </c>
      <c r="Z72" s="55" t="s">
        <v>311</v>
      </c>
      <c r="AA72" s="55" t="s">
        <v>142</v>
      </c>
      <c r="AD72" s="55" t="b">
        <v>1</v>
      </c>
      <c r="AE72" s="55" t="s">
        <v>1025</v>
      </c>
      <c r="AF72" s="55" t="s">
        <v>654</v>
      </c>
      <c r="AG72" s="55" t="s">
        <v>930</v>
      </c>
      <c r="AH72" s="55" t="s">
        <v>315</v>
      </c>
      <c r="AN72" s="55">
        <v>1</v>
      </c>
      <c r="AO72" s="55">
        <v>16384</v>
      </c>
      <c r="AP72" s="55" t="s">
        <v>416</v>
      </c>
      <c r="AQ72" s="55" t="s">
        <v>317</v>
      </c>
      <c r="AR72" s="55" t="s">
        <v>318</v>
      </c>
      <c r="AT72" s="55" t="b">
        <v>1</v>
      </c>
      <c r="AU72" s="55" t="s">
        <v>150</v>
      </c>
      <c r="AW72" s="55" t="s">
        <v>151</v>
      </c>
      <c r="AX72" s="55">
        <v>-1</v>
      </c>
      <c r="AY72" s="55">
        <v>-1</v>
      </c>
      <c r="BA72" s="55">
        <v>65728</v>
      </c>
      <c r="BB72" s="55">
        <v>65728</v>
      </c>
      <c r="BC72" s="55">
        <v>61440</v>
      </c>
      <c r="BD72" s="55" t="s">
        <v>152</v>
      </c>
      <c r="BE72" s="55" t="s">
        <v>153</v>
      </c>
      <c r="BF72" s="55" t="s">
        <v>154</v>
      </c>
      <c r="BI72" s="55" t="b">
        <v>0</v>
      </c>
      <c r="BJ72" s="55">
        <v>0</v>
      </c>
      <c r="BK72" s="55">
        <v>10000</v>
      </c>
      <c r="BL72" s="55" t="b">
        <v>0</v>
      </c>
      <c r="BM72" s="55" t="b">
        <v>0</v>
      </c>
      <c r="BO72" s="55" t="b">
        <v>0</v>
      </c>
      <c r="BP72" s="55" t="s">
        <v>155</v>
      </c>
      <c r="BQ72" s="55">
        <v>19</v>
      </c>
      <c r="BR72" s="55" t="s">
        <v>153</v>
      </c>
      <c r="BS72" s="55" t="s">
        <v>156</v>
      </c>
      <c r="BU72" s="55" t="s">
        <v>1026</v>
      </c>
      <c r="BV72" s="55" t="s">
        <v>1027</v>
      </c>
      <c r="BW72" s="55" t="s">
        <v>1027</v>
      </c>
      <c r="BX72" s="55" t="s">
        <v>1027</v>
      </c>
      <c r="BZ72" s="55" t="s">
        <v>1028</v>
      </c>
      <c r="CA72" s="55" t="s">
        <v>1029</v>
      </c>
      <c r="CI72" s="55" t="s">
        <v>161</v>
      </c>
      <c r="CJ72" s="55" t="s">
        <v>323</v>
      </c>
      <c r="CK72" s="55" t="s">
        <v>446</v>
      </c>
      <c r="CL72" s="55" t="s">
        <v>846</v>
      </c>
      <c r="CM72" s="55" t="s">
        <v>846</v>
      </c>
      <c r="CN72" s="55" t="s">
        <v>166</v>
      </c>
      <c r="CP72" s="55" t="s">
        <v>1030</v>
      </c>
      <c r="CQ72" s="55" t="s">
        <v>1031</v>
      </c>
      <c r="CR72" s="55" t="s">
        <v>1032</v>
      </c>
      <c r="CS72" s="55" t="s">
        <v>170</v>
      </c>
      <c r="CT72" s="55" t="s">
        <v>171</v>
      </c>
      <c r="CU72" s="55" t="s">
        <v>172</v>
      </c>
      <c r="CV72" s="55" t="s">
        <v>173</v>
      </c>
    </row>
    <row r="73" spans="1:113">
      <c r="A73" s="55" t="s">
        <v>1033</v>
      </c>
      <c r="B73" s="55" t="s">
        <v>1034</v>
      </c>
      <c r="C73" s="55" t="s">
        <v>135</v>
      </c>
      <c r="D73" s="55" t="b">
        <v>0</v>
      </c>
      <c r="E73" s="55" t="b">
        <v>0</v>
      </c>
      <c r="F73" s="55" t="s">
        <v>136</v>
      </c>
      <c r="H73" s="55" t="s">
        <v>138</v>
      </c>
      <c r="I73" s="55" t="s">
        <v>474</v>
      </c>
      <c r="J73" s="55" t="s">
        <v>151</v>
      </c>
      <c r="K73" s="55" t="b">
        <v>0</v>
      </c>
      <c r="L73" s="56">
        <v>45901.482870370368</v>
      </c>
      <c r="O73" s="55">
        <v>0</v>
      </c>
      <c r="P73" s="56">
        <v>44635.800740740742</v>
      </c>
      <c r="Q73" s="56">
        <v>45901.500439814823</v>
      </c>
      <c r="R73" s="57">
        <v>2</v>
      </c>
      <c r="S73" s="55" t="s">
        <v>140</v>
      </c>
      <c r="T73" s="57">
        <v>8192</v>
      </c>
      <c r="U73" s="55">
        <v>573</v>
      </c>
      <c r="V73" s="55">
        <v>3</v>
      </c>
      <c r="W73" s="55">
        <v>3</v>
      </c>
      <c r="X73" s="58">
        <v>204800</v>
      </c>
      <c r="Z73" s="55" t="s">
        <v>813</v>
      </c>
      <c r="AA73" s="55" t="s">
        <v>142</v>
      </c>
      <c r="AC73" s="55" t="b">
        <v>1</v>
      </c>
      <c r="AD73" s="55" t="b">
        <v>1</v>
      </c>
      <c r="AF73" s="55" t="s">
        <v>1035</v>
      </c>
      <c r="AG73" s="55" t="s">
        <v>1036</v>
      </c>
      <c r="AH73" s="55" t="s">
        <v>905</v>
      </c>
      <c r="AN73" s="55">
        <v>1</v>
      </c>
      <c r="AO73" s="55">
        <v>16384</v>
      </c>
      <c r="AP73" s="55" t="s">
        <v>818</v>
      </c>
      <c r="AQ73" s="55" t="s">
        <v>317</v>
      </c>
      <c r="AR73" s="55" t="s">
        <v>318</v>
      </c>
      <c r="AT73" s="55" t="b">
        <v>1</v>
      </c>
      <c r="AU73" s="55" t="s">
        <v>150</v>
      </c>
      <c r="AW73" s="55" t="s">
        <v>151</v>
      </c>
      <c r="AX73" s="55">
        <v>-1</v>
      </c>
      <c r="AY73" s="55">
        <v>-1</v>
      </c>
      <c r="BA73" s="55">
        <v>213076</v>
      </c>
      <c r="BB73" s="55">
        <v>213076</v>
      </c>
      <c r="BC73" s="55">
        <v>204800</v>
      </c>
      <c r="BD73" s="55" t="s">
        <v>152</v>
      </c>
      <c r="BE73" s="55" t="s">
        <v>153</v>
      </c>
      <c r="BF73" s="55" t="s">
        <v>154</v>
      </c>
      <c r="BI73" s="55" t="b">
        <v>0</v>
      </c>
      <c r="BJ73" s="55">
        <v>0</v>
      </c>
      <c r="BK73" s="55">
        <v>10000</v>
      </c>
      <c r="BL73" s="55" t="b">
        <v>0</v>
      </c>
      <c r="BM73" s="55" t="b">
        <v>0</v>
      </c>
      <c r="BO73" s="55" t="b">
        <v>0</v>
      </c>
      <c r="BP73" s="55" t="s">
        <v>155</v>
      </c>
      <c r="BQ73" s="55">
        <v>15</v>
      </c>
      <c r="BR73" s="55" t="s">
        <v>153</v>
      </c>
      <c r="BS73" s="55" t="s">
        <v>156</v>
      </c>
      <c r="BU73" s="55" t="s">
        <v>1037</v>
      </c>
      <c r="BV73" s="55" t="s">
        <v>1038</v>
      </c>
      <c r="BW73" s="55" t="s">
        <v>1038</v>
      </c>
      <c r="BX73" s="55" t="s">
        <v>1038</v>
      </c>
      <c r="BY73" s="55" t="s">
        <v>1039</v>
      </c>
      <c r="BZ73" s="55" t="s">
        <v>1040</v>
      </c>
      <c r="CA73" s="55" t="s">
        <v>1041</v>
      </c>
      <c r="CI73" s="55" t="s">
        <v>161</v>
      </c>
      <c r="CJ73" s="55" t="s">
        <v>824</v>
      </c>
      <c r="CK73" s="55" t="s">
        <v>825</v>
      </c>
      <c r="CL73" s="55" t="s">
        <v>1042</v>
      </c>
      <c r="CN73" s="55" t="s">
        <v>166</v>
      </c>
      <c r="CP73" s="55" t="s">
        <v>1043</v>
      </c>
      <c r="CQ73" s="55" t="s">
        <v>1044</v>
      </c>
      <c r="CR73" s="55" t="s">
        <v>1045</v>
      </c>
      <c r="CS73" s="55" t="s">
        <v>170</v>
      </c>
      <c r="CT73" s="55" t="s">
        <v>171</v>
      </c>
      <c r="CU73" s="55" t="s">
        <v>172</v>
      </c>
      <c r="CV73" s="55" t="s">
        <v>173</v>
      </c>
    </row>
    <row r="74" spans="1:113">
      <c r="A74" s="55" t="s">
        <v>1046</v>
      </c>
      <c r="B74" s="55" t="s">
        <v>1047</v>
      </c>
      <c r="C74" s="55" t="s">
        <v>135</v>
      </c>
      <c r="D74" s="55" t="b">
        <v>0</v>
      </c>
      <c r="E74" s="55" t="b">
        <v>0</v>
      </c>
      <c r="F74" s="55" t="s">
        <v>136</v>
      </c>
      <c r="G74" s="55" t="s">
        <v>1048</v>
      </c>
      <c r="H74" s="55" t="s">
        <v>138</v>
      </c>
      <c r="I74" s="55" t="s">
        <v>139</v>
      </c>
      <c r="J74" s="55" t="s">
        <v>136</v>
      </c>
      <c r="K74" s="55" t="b">
        <v>0</v>
      </c>
      <c r="L74" s="56">
        <v>45784.701423611114</v>
      </c>
      <c r="O74" s="55">
        <v>0</v>
      </c>
      <c r="P74" s="56">
        <v>25568.791666666672</v>
      </c>
      <c r="Q74" s="56">
        <v>45882.643784722219</v>
      </c>
      <c r="R74" s="57">
        <v>4</v>
      </c>
      <c r="T74" s="57">
        <v>4096</v>
      </c>
      <c r="U74" s="55">
        <v>327</v>
      </c>
      <c r="V74" s="55">
        <v>3</v>
      </c>
      <c r="W74" s="55">
        <v>3</v>
      </c>
      <c r="X74" s="58">
        <v>331776</v>
      </c>
      <c r="Z74" s="55" t="s">
        <v>832</v>
      </c>
      <c r="AA74" s="55" t="s">
        <v>142</v>
      </c>
      <c r="AD74" s="55" t="b">
        <v>1</v>
      </c>
      <c r="AE74" s="55" t="s">
        <v>1049</v>
      </c>
      <c r="AF74" s="55" t="s">
        <v>834</v>
      </c>
      <c r="AG74" s="55" t="s">
        <v>835</v>
      </c>
      <c r="AH74" s="55" t="s">
        <v>836</v>
      </c>
      <c r="AN74" s="55">
        <v>1</v>
      </c>
      <c r="AO74" s="55">
        <v>0</v>
      </c>
      <c r="AP74" s="55" t="s">
        <v>837</v>
      </c>
      <c r="AQ74" s="55" t="s">
        <v>317</v>
      </c>
      <c r="AR74" s="55" t="s">
        <v>318</v>
      </c>
      <c r="AT74" s="55" t="b">
        <v>1</v>
      </c>
      <c r="AU74" s="55" t="s">
        <v>150</v>
      </c>
      <c r="AW74" s="55" t="s">
        <v>151</v>
      </c>
      <c r="AX74" s="55">
        <v>-1</v>
      </c>
      <c r="AY74" s="55">
        <v>-1</v>
      </c>
      <c r="BA74" s="55">
        <v>336043</v>
      </c>
      <c r="BB74" s="55">
        <v>336043</v>
      </c>
      <c r="BC74" s="55">
        <v>331776</v>
      </c>
      <c r="BD74" s="55" t="s">
        <v>152</v>
      </c>
      <c r="BE74" s="55" t="s">
        <v>153</v>
      </c>
      <c r="BF74" s="55" t="s">
        <v>154</v>
      </c>
      <c r="BI74" s="55" t="b">
        <v>0</v>
      </c>
      <c r="BJ74" s="55">
        <v>0</v>
      </c>
      <c r="BK74" s="55">
        <v>10000</v>
      </c>
      <c r="BL74" s="55" t="b">
        <v>0</v>
      </c>
      <c r="BM74" s="55" t="b">
        <v>0</v>
      </c>
      <c r="BO74" s="55" t="b">
        <v>0</v>
      </c>
      <c r="BP74" s="55" t="s">
        <v>155</v>
      </c>
      <c r="BQ74" s="55">
        <v>13</v>
      </c>
      <c r="BR74" s="55" t="s">
        <v>153</v>
      </c>
      <c r="BS74" s="55" t="s">
        <v>156</v>
      </c>
      <c r="BU74" s="55" t="s">
        <v>1050</v>
      </c>
      <c r="BV74" s="55" t="s">
        <v>1051</v>
      </c>
      <c r="BW74" s="55" t="s">
        <v>1051</v>
      </c>
      <c r="BX74" s="55" t="s">
        <v>1051</v>
      </c>
      <c r="BZ74" s="55" t="s">
        <v>1052</v>
      </c>
      <c r="CA74" s="55" t="s">
        <v>1053</v>
      </c>
      <c r="CI74" s="55" t="s">
        <v>161</v>
      </c>
      <c r="CJ74" s="55" t="s">
        <v>844</v>
      </c>
      <c r="CK74" s="55" t="s">
        <v>845</v>
      </c>
      <c r="CL74" s="55" t="s">
        <v>846</v>
      </c>
      <c r="CM74" s="55" t="s">
        <v>846</v>
      </c>
      <c r="CP74" s="55" t="s">
        <v>1054</v>
      </c>
      <c r="CQ74" s="55" t="s">
        <v>1055</v>
      </c>
      <c r="CR74" s="55" t="s">
        <v>1056</v>
      </c>
      <c r="CS74" s="55" t="s">
        <v>170</v>
      </c>
      <c r="CT74" s="55" t="s">
        <v>171</v>
      </c>
      <c r="CU74" s="55" t="s">
        <v>172</v>
      </c>
      <c r="CV74" s="55" t="s">
        <v>173</v>
      </c>
    </row>
    <row r="75" spans="1:113">
      <c r="A75" s="55" t="s">
        <v>1057</v>
      </c>
      <c r="B75" s="55" t="s">
        <v>1058</v>
      </c>
      <c r="C75" s="55" t="s">
        <v>135</v>
      </c>
      <c r="D75" s="55" t="b">
        <v>0</v>
      </c>
      <c r="E75" s="55" t="b">
        <v>0</v>
      </c>
      <c r="F75" s="55" t="s">
        <v>136</v>
      </c>
      <c r="G75" s="55" t="s">
        <v>1059</v>
      </c>
      <c r="H75" s="55" t="s">
        <v>138</v>
      </c>
      <c r="I75" s="55" t="s">
        <v>139</v>
      </c>
      <c r="J75" s="55" t="s">
        <v>136</v>
      </c>
      <c r="K75" s="55" t="b">
        <v>0</v>
      </c>
      <c r="L75" s="56">
        <v>45897.645173611112</v>
      </c>
      <c r="O75" s="55">
        <v>0</v>
      </c>
      <c r="P75" s="56">
        <v>25568.791666666672</v>
      </c>
      <c r="Q75" s="56">
        <v>45897.64403935185</v>
      </c>
      <c r="R75" s="57">
        <v>4</v>
      </c>
      <c r="S75" s="55" t="s">
        <v>140</v>
      </c>
      <c r="T75" s="57">
        <v>8192</v>
      </c>
      <c r="U75" s="55">
        <v>327</v>
      </c>
      <c r="V75" s="55">
        <v>3</v>
      </c>
      <c r="W75" s="55">
        <v>3</v>
      </c>
      <c r="X75" s="58">
        <v>471040</v>
      </c>
      <c r="Z75" s="55" t="s">
        <v>311</v>
      </c>
      <c r="AA75" s="55" t="s">
        <v>142</v>
      </c>
      <c r="AC75" s="55" t="b">
        <v>1</v>
      </c>
      <c r="AD75" s="55" t="b">
        <v>1</v>
      </c>
      <c r="AE75" s="55" t="s">
        <v>1060</v>
      </c>
      <c r="AF75" s="55" t="s">
        <v>654</v>
      </c>
      <c r="AG75" s="55" t="s">
        <v>930</v>
      </c>
      <c r="AH75" s="55" t="s">
        <v>315</v>
      </c>
      <c r="AN75" s="55">
        <v>1</v>
      </c>
      <c r="AO75" s="55">
        <v>16384</v>
      </c>
      <c r="AP75" s="55" t="s">
        <v>416</v>
      </c>
      <c r="AQ75" s="55" t="s">
        <v>317</v>
      </c>
      <c r="AR75" s="55" t="s">
        <v>318</v>
      </c>
      <c r="AT75" s="55" t="b">
        <v>1</v>
      </c>
      <c r="AU75" s="55" t="s">
        <v>150</v>
      </c>
      <c r="AW75" s="55" t="s">
        <v>151</v>
      </c>
      <c r="AX75" s="55">
        <v>-1</v>
      </c>
      <c r="AY75" s="55">
        <v>-1</v>
      </c>
      <c r="BA75" s="55">
        <v>479445</v>
      </c>
      <c r="BB75" s="55">
        <v>479445</v>
      </c>
      <c r="BC75" s="55">
        <v>471040</v>
      </c>
      <c r="BD75" s="55" t="s">
        <v>152</v>
      </c>
      <c r="BE75" s="55" t="s">
        <v>153</v>
      </c>
      <c r="BF75" s="55" t="s">
        <v>154</v>
      </c>
      <c r="BI75" s="55" t="b">
        <v>0</v>
      </c>
      <c r="BJ75" s="55">
        <v>0</v>
      </c>
      <c r="BK75" s="55">
        <v>10000</v>
      </c>
      <c r="BL75" s="55" t="b">
        <v>0</v>
      </c>
      <c r="BM75" s="55" t="b">
        <v>0</v>
      </c>
      <c r="BO75" s="55" t="b">
        <v>0</v>
      </c>
      <c r="BP75" s="55" t="s">
        <v>155</v>
      </c>
      <c r="BQ75" s="55">
        <v>19</v>
      </c>
      <c r="BR75" s="55" t="s">
        <v>153</v>
      </c>
      <c r="BS75" s="55" t="s">
        <v>156</v>
      </c>
      <c r="BU75" s="55" t="s">
        <v>1061</v>
      </c>
      <c r="BV75" s="55" t="s">
        <v>1062</v>
      </c>
      <c r="BW75" s="55" t="s">
        <v>1062</v>
      </c>
      <c r="BX75" s="55" t="s">
        <v>1062</v>
      </c>
      <c r="BY75" s="55" t="s">
        <v>1063</v>
      </c>
      <c r="BZ75" s="55" t="s">
        <v>1064</v>
      </c>
      <c r="CA75" s="55" t="s">
        <v>1065</v>
      </c>
      <c r="CI75" s="55" t="s">
        <v>161</v>
      </c>
      <c r="CJ75" s="55" t="s">
        <v>323</v>
      </c>
      <c r="CK75" s="55" t="s">
        <v>446</v>
      </c>
      <c r="CL75" s="55" t="s">
        <v>882</v>
      </c>
      <c r="CM75" s="55" t="s">
        <v>882</v>
      </c>
      <c r="CN75" s="55" t="s">
        <v>166</v>
      </c>
      <c r="CP75" s="55" t="s">
        <v>1066</v>
      </c>
      <c r="CQ75" s="55" t="s">
        <v>1067</v>
      </c>
      <c r="CR75" s="55" t="s">
        <v>1068</v>
      </c>
      <c r="CS75" s="55" t="s">
        <v>170</v>
      </c>
      <c r="CT75" s="55" t="s">
        <v>171</v>
      </c>
      <c r="CU75" s="55" t="s">
        <v>172</v>
      </c>
      <c r="CV75" s="55" t="s">
        <v>173</v>
      </c>
    </row>
    <row r="76" spans="1:113" s="49" customFormat="1">
      <c r="A76" s="49" t="s">
        <v>1069</v>
      </c>
      <c r="B76" s="49" t="s">
        <v>1070</v>
      </c>
      <c r="C76" s="49" t="s">
        <v>732</v>
      </c>
      <c r="D76" s="55" t="b">
        <v>0</v>
      </c>
      <c r="E76" s="55" t="b">
        <v>0</v>
      </c>
      <c r="F76" s="55" t="s">
        <v>136</v>
      </c>
      <c r="G76" s="49" t="s">
        <v>1071</v>
      </c>
      <c r="H76" s="55" t="s">
        <v>138</v>
      </c>
      <c r="I76" s="55" t="s">
        <v>474</v>
      </c>
      <c r="J76" s="55" t="s">
        <v>151</v>
      </c>
      <c r="K76" s="55" t="b">
        <v>0</v>
      </c>
      <c r="L76" s="55"/>
      <c r="M76" s="55"/>
      <c r="N76" s="55"/>
      <c r="O76" s="55">
        <v>0</v>
      </c>
      <c r="P76" s="56">
        <v>25568.791666666672</v>
      </c>
      <c r="Q76" s="56">
        <v>45856.728726851848</v>
      </c>
      <c r="R76" s="51">
        <v>4</v>
      </c>
      <c r="T76" s="51">
        <v>4096</v>
      </c>
      <c r="U76" s="49">
        <v>0</v>
      </c>
      <c r="V76" s="49">
        <v>3</v>
      </c>
      <c r="W76" s="49">
        <v>2</v>
      </c>
      <c r="X76" s="52">
        <v>133120</v>
      </c>
      <c r="AA76" s="49" t="s">
        <v>142</v>
      </c>
      <c r="AD76" s="49" t="b">
        <v>1</v>
      </c>
      <c r="AF76" s="49" t="s">
        <v>654</v>
      </c>
      <c r="AG76" s="49" t="s">
        <v>930</v>
      </c>
      <c r="AH76" s="49" t="s">
        <v>315</v>
      </c>
      <c r="AN76" s="49">
        <v>1</v>
      </c>
      <c r="AO76" s="49">
        <v>4096</v>
      </c>
      <c r="AP76" s="49" t="s">
        <v>416</v>
      </c>
      <c r="AQ76" s="49" t="s">
        <v>317</v>
      </c>
      <c r="AR76" s="49" t="s">
        <v>318</v>
      </c>
      <c r="AU76" s="49" t="s">
        <v>150</v>
      </c>
      <c r="AW76" s="49" t="s">
        <v>151</v>
      </c>
      <c r="AX76" s="49">
        <v>-1</v>
      </c>
      <c r="AY76" s="49">
        <v>-1</v>
      </c>
      <c r="BA76" s="49">
        <v>137931</v>
      </c>
      <c r="BB76" s="49">
        <v>133206</v>
      </c>
      <c r="BC76" s="49">
        <v>133120</v>
      </c>
      <c r="BD76" s="49" t="s">
        <v>152</v>
      </c>
      <c r="BE76" s="49" t="s">
        <v>153</v>
      </c>
      <c r="BF76" s="49" t="s">
        <v>154</v>
      </c>
      <c r="BI76" s="49" t="b">
        <v>0</v>
      </c>
      <c r="BJ76" s="49">
        <v>0</v>
      </c>
      <c r="BK76" s="49">
        <v>10000</v>
      </c>
      <c r="BL76" s="49" t="b">
        <v>0</v>
      </c>
      <c r="BM76" s="49" t="b">
        <v>0</v>
      </c>
      <c r="BO76" s="49" t="b">
        <v>0</v>
      </c>
      <c r="BP76" s="49" t="s">
        <v>155</v>
      </c>
      <c r="BQ76" s="49">
        <v>13</v>
      </c>
      <c r="BR76" s="49" t="s">
        <v>153</v>
      </c>
      <c r="BS76" s="49" t="s">
        <v>156</v>
      </c>
      <c r="BU76" s="49" t="s">
        <v>1072</v>
      </c>
      <c r="BV76" s="49" t="s">
        <v>1073</v>
      </c>
      <c r="BW76" s="49" t="s">
        <v>1073</v>
      </c>
      <c r="BX76" s="49" t="s">
        <v>1073</v>
      </c>
      <c r="BY76" s="49" t="s">
        <v>1074</v>
      </c>
      <c r="BZ76" s="49" t="s">
        <v>1075</v>
      </c>
      <c r="CA76" s="49" t="s">
        <v>1076</v>
      </c>
      <c r="CI76" s="49" t="s">
        <v>161</v>
      </c>
      <c r="CJ76" s="49" t="s">
        <v>323</v>
      </c>
      <c r="CK76" s="49" t="s">
        <v>324</v>
      </c>
      <c r="CL76" s="49" t="s">
        <v>846</v>
      </c>
      <c r="CM76" s="49" t="s">
        <v>846</v>
      </c>
      <c r="CP76" s="49" t="s">
        <v>1077</v>
      </c>
      <c r="CQ76" s="49" t="s">
        <v>1078</v>
      </c>
      <c r="CR76" s="49" t="s">
        <v>1079</v>
      </c>
      <c r="CS76" s="49" t="s">
        <v>170</v>
      </c>
      <c r="CT76" s="49" t="s">
        <v>171</v>
      </c>
      <c r="CU76" s="49" t="s">
        <v>172</v>
      </c>
      <c r="CV76" s="49" t="s">
        <v>173</v>
      </c>
    </row>
    <row r="77" spans="1:113">
      <c r="A77" s="55" t="s">
        <v>1080</v>
      </c>
      <c r="B77" s="55" t="s">
        <v>1081</v>
      </c>
      <c r="C77" s="55" t="s">
        <v>135</v>
      </c>
      <c r="D77" s="55" t="b">
        <v>0</v>
      </c>
      <c r="E77" s="55" t="b">
        <v>0</v>
      </c>
      <c r="F77" s="55" t="s">
        <v>136</v>
      </c>
      <c r="G77" s="55" t="s">
        <v>1082</v>
      </c>
      <c r="H77" s="55" t="s">
        <v>138</v>
      </c>
      <c r="I77" s="55" t="s">
        <v>139</v>
      </c>
      <c r="J77" s="55" t="s">
        <v>136</v>
      </c>
      <c r="K77" s="55" t="b">
        <v>0</v>
      </c>
      <c r="L77" s="56">
        <v>45773.996354166673</v>
      </c>
      <c r="O77" s="55">
        <v>0</v>
      </c>
      <c r="P77" s="56">
        <v>25568.791666666672</v>
      </c>
      <c r="Q77" s="56">
        <v>45864.422789351847</v>
      </c>
      <c r="R77" s="57">
        <v>4</v>
      </c>
      <c r="T77" s="57">
        <v>12288</v>
      </c>
      <c r="U77" s="55">
        <v>491</v>
      </c>
      <c r="V77" s="55">
        <v>3</v>
      </c>
      <c r="W77" s="55">
        <v>2</v>
      </c>
      <c r="X77" s="58">
        <v>112640</v>
      </c>
      <c r="Z77" s="55" t="s">
        <v>832</v>
      </c>
      <c r="AA77" s="55" t="s">
        <v>142</v>
      </c>
      <c r="AC77" s="55" t="b">
        <v>1</v>
      </c>
      <c r="AD77" s="55" t="b">
        <v>1</v>
      </c>
      <c r="AE77" s="55" t="s">
        <v>1083</v>
      </c>
      <c r="AF77" s="55" t="s">
        <v>835</v>
      </c>
      <c r="AG77" s="55" t="s">
        <v>1084</v>
      </c>
      <c r="AH77" s="55" t="s">
        <v>836</v>
      </c>
      <c r="AN77" s="55">
        <v>1</v>
      </c>
      <c r="AO77" s="55">
        <v>0</v>
      </c>
      <c r="AP77" s="55" t="s">
        <v>837</v>
      </c>
      <c r="AQ77" s="55" t="s">
        <v>317</v>
      </c>
      <c r="AR77" s="55" t="s">
        <v>318</v>
      </c>
      <c r="AT77" s="55" t="b">
        <v>1</v>
      </c>
      <c r="AU77" s="55" t="s">
        <v>150</v>
      </c>
      <c r="AW77" s="55" t="s">
        <v>151</v>
      </c>
      <c r="AX77" s="55">
        <v>-1</v>
      </c>
      <c r="AY77" s="55">
        <v>-1</v>
      </c>
      <c r="BA77" s="55">
        <v>125155</v>
      </c>
      <c r="BB77" s="55">
        <v>125155</v>
      </c>
      <c r="BC77" s="55">
        <v>112640</v>
      </c>
      <c r="BD77" s="55" t="s">
        <v>152</v>
      </c>
      <c r="BE77" s="55" t="s">
        <v>153</v>
      </c>
      <c r="BF77" s="55" t="s">
        <v>154</v>
      </c>
      <c r="BI77" s="55" t="b">
        <v>0</v>
      </c>
      <c r="BJ77" s="55">
        <v>0</v>
      </c>
      <c r="BK77" s="55">
        <v>10000</v>
      </c>
      <c r="BL77" s="55" t="b">
        <v>0</v>
      </c>
      <c r="BM77" s="55" t="b">
        <v>0</v>
      </c>
      <c r="BO77" s="55" t="b">
        <v>0</v>
      </c>
      <c r="BP77" s="55" t="s">
        <v>155</v>
      </c>
      <c r="BQ77" s="55">
        <v>13</v>
      </c>
      <c r="BR77" s="55" t="s">
        <v>153</v>
      </c>
      <c r="BS77" s="55" t="s">
        <v>156</v>
      </c>
      <c r="BU77" s="55" t="s">
        <v>1085</v>
      </c>
      <c r="BV77" s="55" t="s">
        <v>1086</v>
      </c>
      <c r="BW77" s="55" t="s">
        <v>1086</v>
      </c>
      <c r="BX77" s="55" t="s">
        <v>1086</v>
      </c>
      <c r="BZ77" s="55" t="s">
        <v>1087</v>
      </c>
      <c r="CA77" s="55" t="s">
        <v>1088</v>
      </c>
      <c r="CB77" s="55" t="s">
        <v>1089</v>
      </c>
      <c r="CI77" s="55" t="s">
        <v>161</v>
      </c>
      <c r="CJ77" s="55" t="s">
        <v>844</v>
      </c>
      <c r="CK77" s="55" t="s">
        <v>896</v>
      </c>
      <c r="CL77" s="55" t="s">
        <v>826</v>
      </c>
      <c r="CM77" s="55" t="s">
        <v>826</v>
      </c>
      <c r="CP77" s="55" t="s">
        <v>1089</v>
      </c>
      <c r="CQ77" s="55" t="s">
        <v>1090</v>
      </c>
      <c r="CR77" s="55" t="s">
        <v>1091</v>
      </c>
      <c r="CS77" s="55" t="s">
        <v>170</v>
      </c>
      <c r="CT77" s="55" t="s">
        <v>171</v>
      </c>
      <c r="CU77" s="55" t="s">
        <v>172</v>
      </c>
      <c r="CV77" s="55" t="s">
        <v>173</v>
      </c>
    </row>
    <row r="78" spans="1:113" s="49" customFormat="1">
      <c r="A78" s="55" t="s">
        <v>1092</v>
      </c>
      <c r="B78" s="55" t="s">
        <v>1093</v>
      </c>
      <c r="C78" s="55" t="s">
        <v>135</v>
      </c>
      <c r="D78" s="55" t="b">
        <v>0</v>
      </c>
      <c r="E78" s="55" t="b">
        <v>0</v>
      </c>
      <c r="F78" s="55" t="s">
        <v>136</v>
      </c>
      <c r="G78" s="55" t="s">
        <v>1094</v>
      </c>
      <c r="H78" s="55" t="s">
        <v>138</v>
      </c>
      <c r="I78" s="55" t="s">
        <v>139</v>
      </c>
      <c r="J78" s="55" t="s">
        <v>136</v>
      </c>
      <c r="K78" s="55" t="b">
        <v>0</v>
      </c>
      <c r="L78" s="56">
        <v>45864.482060185182</v>
      </c>
      <c r="M78" s="55"/>
      <c r="N78" s="55"/>
      <c r="O78" s="55">
        <v>0</v>
      </c>
      <c r="P78" s="56">
        <v>25568.791666666672</v>
      </c>
      <c r="Q78" s="56">
        <v>45882.643993055557</v>
      </c>
      <c r="R78" s="57">
        <v>4</v>
      </c>
      <c r="S78" s="55"/>
      <c r="T78" s="57">
        <v>8192</v>
      </c>
      <c r="U78" s="55">
        <v>655</v>
      </c>
      <c r="V78" s="55">
        <v>3</v>
      </c>
      <c r="W78" s="55">
        <v>2</v>
      </c>
      <c r="X78" s="58">
        <v>215040</v>
      </c>
      <c r="Y78" s="55"/>
      <c r="Z78" s="55" t="s">
        <v>832</v>
      </c>
      <c r="AA78" s="55" t="s">
        <v>142</v>
      </c>
      <c r="AB78" s="55"/>
      <c r="AC78" s="55" t="b">
        <v>1</v>
      </c>
      <c r="AD78" s="55" t="b">
        <v>1</v>
      </c>
      <c r="AE78" s="55" t="s">
        <v>1095</v>
      </c>
      <c r="AF78" s="55" t="s">
        <v>834</v>
      </c>
      <c r="AG78" s="55" t="s">
        <v>835</v>
      </c>
      <c r="AH78" s="55" t="s">
        <v>836</v>
      </c>
      <c r="AI78" s="55"/>
      <c r="AJ78" s="55"/>
      <c r="AK78" s="55"/>
      <c r="AL78" s="55"/>
      <c r="AM78" s="55"/>
      <c r="AN78" s="55">
        <v>1</v>
      </c>
      <c r="AO78" s="55">
        <v>0</v>
      </c>
      <c r="AP78" s="55" t="s">
        <v>837</v>
      </c>
      <c r="AQ78" s="55" t="s">
        <v>317</v>
      </c>
      <c r="AR78" s="55" t="s">
        <v>318</v>
      </c>
      <c r="AS78" s="55"/>
      <c r="AT78" s="55" t="b">
        <v>1</v>
      </c>
      <c r="AU78" s="55" t="s">
        <v>150</v>
      </c>
      <c r="AV78" s="55"/>
      <c r="AW78" s="55" t="s">
        <v>151</v>
      </c>
      <c r="AX78" s="55">
        <v>-1</v>
      </c>
      <c r="AY78" s="55">
        <v>-1</v>
      </c>
      <c r="AZ78" s="55"/>
      <c r="BA78" s="55">
        <v>223392</v>
      </c>
      <c r="BB78" s="55">
        <v>223392</v>
      </c>
      <c r="BC78" s="55">
        <v>215040</v>
      </c>
      <c r="BD78" s="55" t="s">
        <v>152</v>
      </c>
      <c r="BE78" s="55" t="s">
        <v>153</v>
      </c>
      <c r="BF78" s="55" t="s">
        <v>154</v>
      </c>
      <c r="BG78" s="55"/>
      <c r="BH78" s="55"/>
      <c r="BI78" s="55" t="b">
        <v>0</v>
      </c>
      <c r="BJ78" s="55">
        <v>0</v>
      </c>
      <c r="BK78" s="55">
        <v>10000</v>
      </c>
      <c r="BL78" s="55" t="b">
        <v>0</v>
      </c>
      <c r="BM78" s="55" t="b">
        <v>0</v>
      </c>
      <c r="BN78" s="55"/>
      <c r="BO78" s="55" t="b">
        <v>0</v>
      </c>
      <c r="BP78" s="55" t="s">
        <v>155</v>
      </c>
      <c r="BQ78" s="55">
        <v>13</v>
      </c>
      <c r="BR78" s="55" t="s">
        <v>153</v>
      </c>
      <c r="BS78" s="55" t="s">
        <v>156</v>
      </c>
      <c r="BT78" s="55"/>
      <c r="BU78" s="55" t="s">
        <v>1096</v>
      </c>
      <c r="BV78" s="55" t="s">
        <v>1097</v>
      </c>
      <c r="BW78" s="55" t="s">
        <v>1097</v>
      </c>
      <c r="BX78" s="55" t="s">
        <v>1097</v>
      </c>
      <c r="BY78" s="55"/>
      <c r="BZ78" s="55" t="s">
        <v>1098</v>
      </c>
      <c r="CA78" s="55" t="s">
        <v>1099</v>
      </c>
      <c r="CB78" s="55"/>
      <c r="CC78" s="55"/>
      <c r="CD78" s="55"/>
      <c r="CE78" s="55"/>
      <c r="CF78" s="55"/>
      <c r="CG78" s="55"/>
      <c r="CH78" s="55"/>
      <c r="CI78" s="55" t="s">
        <v>161</v>
      </c>
      <c r="CJ78" s="55" t="s">
        <v>844</v>
      </c>
      <c r="CK78" s="55" t="s">
        <v>1100</v>
      </c>
      <c r="CL78" s="55" t="s">
        <v>882</v>
      </c>
      <c r="CM78" s="55" t="s">
        <v>882</v>
      </c>
      <c r="CN78" s="55"/>
      <c r="CO78" s="55"/>
      <c r="CP78" s="55" t="s">
        <v>1101</v>
      </c>
      <c r="CQ78" s="55" t="s">
        <v>1102</v>
      </c>
      <c r="CR78" s="55" t="s">
        <v>1103</v>
      </c>
      <c r="CS78" s="55" t="s">
        <v>170</v>
      </c>
      <c r="CT78" s="55" t="s">
        <v>171</v>
      </c>
      <c r="CU78" s="55" t="s">
        <v>172</v>
      </c>
      <c r="CV78" s="55" t="s">
        <v>173</v>
      </c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</row>
    <row r="79" spans="1:113">
      <c r="A79" s="55" t="s">
        <v>1104</v>
      </c>
      <c r="B79" s="55" t="s">
        <v>1105</v>
      </c>
      <c r="C79" s="55" t="s">
        <v>135</v>
      </c>
      <c r="D79" s="55" t="b">
        <v>0</v>
      </c>
      <c r="E79" s="55" t="b">
        <v>0</v>
      </c>
      <c r="F79" s="55" t="s">
        <v>136</v>
      </c>
      <c r="G79" s="55" t="s">
        <v>1106</v>
      </c>
      <c r="H79" s="55" t="s">
        <v>138</v>
      </c>
      <c r="I79" s="55" t="s">
        <v>139</v>
      </c>
      <c r="J79" s="55" t="s">
        <v>136</v>
      </c>
      <c r="K79" s="55" t="b">
        <v>0</v>
      </c>
      <c r="L79" s="56">
        <v>45773.994293981479</v>
      </c>
      <c r="O79" s="55">
        <v>0</v>
      </c>
      <c r="P79" s="56">
        <v>25568.791666666672</v>
      </c>
      <c r="Q79" s="56">
        <v>45902.253437500003</v>
      </c>
      <c r="R79" s="57">
        <v>4</v>
      </c>
      <c r="S79" s="55" t="s">
        <v>140</v>
      </c>
      <c r="T79" s="57">
        <v>2048</v>
      </c>
      <c r="U79" s="55">
        <v>614</v>
      </c>
      <c r="V79" s="55">
        <v>3</v>
      </c>
      <c r="W79" s="55">
        <v>1</v>
      </c>
      <c r="X79" s="58">
        <v>20480</v>
      </c>
      <c r="Z79" s="55" t="s">
        <v>813</v>
      </c>
      <c r="AA79" s="55" t="s">
        <v>142</v>
      </c>
      <c r="AD79" s="55" t="b">
        <v>1</v>
      </c>
      <c r="AE79" s="55" t="s">
        <v>1107</v>
      </c>
      <c r="AF79" s="55" t="s">
        <v>1108</v>
      </c>
      <c r="AG79" s="55" t="s">
        <v>816</v>
      </c>
      <c r="AH79" s="55" t="s">
        <v>817</v>
      </c>
      <c r="AN79" s="55">
        <v>1</v>
      </c>
      <c r="AO79" s="55">
        <v>16384</v>
      </c>
      <c r="AP79" s="55" t="s">
        <v>818</v>
      </c>
      <c r="AQ79" s="55" t="s">
        <v>192</v>
      </c>
      <c r="AR79" s="55" t="s">
        <v>193</v>
      </c>
      <c r="AT79" s="55" t="b">
        <v>1</v>
      </c>
      <c r="AU79" s="55" t="s">
        <v>150</v>
      </c>
      <c r="AW79" s="55" t="s">
        <v>151</v>
      </c>
      <c r="AX79" s="55">
        <v>-1</v>
      </c>
      <c r="AY79" s="55">
        <v>-1</v>
      </c>
      <c r="BA79" s="55">
        <v>22613</v>
      </c>
      <c r="BB79" s="55">
        <v>22613</v>
      </c>
      <c r="BC79" s="55">
        <v>20480</v>
      </c>
      <c r="BD79" s="55" t="s">
        <v>152</v>
      </c>
      <c r="BE79" s="55" t="s">
        <v>153</v>
      </c>
      <c r="BF79" s="55" t="s">
        <v>154</v>
      </c>
      <c r="BI79" s="55" t="b">
        <v>0</v>
      </c>
      <c r="BJ79" s="55">
        <v>0</v>
      </c>
      <c r="BK79" s="55">
        <v>10000</v>
      </c>
      <c r="BL79" s="55" t="b">
        <v>0</v>
      </c>
      <c r="BM79" s="55" t="b">
        <v>0</v>
      </c>
      <c r="BO79" s="55" t="b">
        <v>0</v>
      </c>
      <c r="BP79" s="55" t="s">
        <v>155</v>
      </c>
      <c r="BQ79" s="55">
        <v>14</v>
      </c>
      <c r="BR79" s="55" t="s">
        <v>153</v>
      </c>
      <c r="BS79" s="55" t="s">
        <v>156</v>
      </c>
      <c r="BU79" s="55" t="s">
        <v>1109</v>
      </c>
      <c r="BV79" s="55" t="s">
        <v>1110</v>
      </c>
      <c r="BW79" s="55" t="s">
        <v>1110</v>
      </c>
      <c r="BX79" s="55" t="s">
        <v>1110</v>
      </c>
      <c r="BY79" s="55" t="s">
        <v>1111</v>
      </c>
      <c r="BZ79" s="55" t="s">
        <v>1112</v>
      </c>
      <c r="CA79" s="55" t="s">
        <v>1113</v>
      </c>
      <c r="CB79" s="55" t="s">
        <v>1114</v>
      </c>
      <c r="CI79" s="55" t="s">
        <v>161</v>
      </c>
      <c r="CJ79" s="55" t="s">
        <v>824</v>
      </c>
      <c r="CK79" s="55" t="s">
        <v>825</v>
      </c>
      <c r="CL79" s="55" t="s">
        <v>1115</v>
      </c>
      <c r="CM79" s="55" t="s">
        <v>1116</v>
      </c>
      <c r="CN79" s="55" t="s">
        <v>166</v>
      </c>
      <c r="CP79" s="55" t="s">
        <v>1114</v>
      </c>
      <c r="CQ79" s="55" t="s">
        <v>1117</v>
      </c>
      <c r="CR79" s="55" t="s">
        <v>1118</v>
      </c>
      <c r="CS79" s="55" t="s">
        <v>170</v>
      </c>
      <c r="CT79" s="55" t="s">
        <v>171</v>
      </c>
      <c r="CU79" s="55" t="s">
        <v>172</v>
      </c>
      <c r="CV79" s="55" t="s">
        <v>173</v>
      </c>
    </row>
    <row r="80" spans="1:113" s="49" customFormat="1">
      <c r="A80" s="49" t="s">
        <v>1119</v>
      </c>
      <c r="B80" s="49" t="s">
        <v>1120</v>
      </c>
      <c r="C80" s="49" t="s">
        <v>732</v>
      </c>
      <c r="D80" s="49" t="b">
        <v>0</v>
      </c>
      <c r="E80" s="49" t="b">
        <v>0</v>
      </c>
      <c r="F80" s="49" t="s">
        <v>136</v>
      </c>
      <c r="G80" s="49" t="s">
        <v>1121</v>
      </c>
      <c r="H80" s="49" t="s">
        <v>138</v>
      </c>
      <c r="I80" s="49" t="s">
        <v>474</v>
      </c>
      <c r="J80" s="49" t="s">
        <v>151</v>
      </c>
      <c r="K80" s="49" t="b">
        <v>0</v>
      </c>
      <c r="O80" s="49">
        <v>0</v>
      </c>
      <c r="P80" s="50">
        <v>44316.382743055547</v>
      </c>
      <c r="Q80" s="50">
        <v>45773.997557870367</v>
      </c>
      <c r="R80" s="51">
        <v>12</v>
      </c>
      <c r="T80" s="51">
        <v>16384</v>
      </c>
      <c r="U80" s="49">
        <v>0</v>
      </c>
      <c r="V80" s="49">
        <v>3</v>
      </c>
      <c r="W80" s="49">
        <v>2</v>
      </c>
      <c r="X80" s="52">
        <v>204800</v>
      </c>
      <c r="AA80" s="49" t="s">
        <v>142</v>
      </c>
      <c r="AC80" s="49" t="b">
        <v>1</v>
      </c>
      <c r="AD80" s="49" t="b">
        <v>1</v>
      </c>
      <c r="AF80" s="49" t="s">
        <v>1122</v>
      </c>
      <c r="AG80" s="49" t="s">
        <v>1122</v>
      </c>
      <c r="AH80" s="49" t="s">
        <v>1122</v>
      </c>
      <c r="AN80" s="49">
        <v>1</v>
      </c>
      <c r="AO80" s="49">
        <v>8192</v>
      </c>
      <c r="AP80" s="49" t="s">
        <v>1123</v>
      </c>
      <c r="AQ80" s="49" t="s">
        <v>317</v>
      </c>
      <c r="AR80" s="49" t="s">
        <v>318</v>
      </c>
      <c r="AU80" s="49" t="s">
        <v>150</v>
      </c>
      <c r="AW80" s="49" t="s">
        <v>151</v>
      </c>
      <c r="AX80" s="49">
        <v>-1</v>
      </c>
      <c r="AY80" s="49">
        <v>-1</v>
      </c>
      <c r="BA80" s="49">
        <v>221514</v>
      </c>
      <c r="BB80" s="49">
        <v>204861</v>
      </c>
      <c r="BC80" s="49">
        <v>204800</v>
      </c>
      <c r="BD80" s="49" t="s">
        <v>152</v>
      </c>
      <c r="BE80" s="49" t="s">
        <v>153</v>
      </c>
      <c r="BF80" s="49" t="s">
        <v>154</v>
      </c>
      <c r="BI80" s="49" t="b">
        <v>0</v>
      </c>
      <c r="BJ80" s="49">
        <v>0</v>
      </c>
      <c r="BK80" s="49">
        <v>10000</v>
      </c>
      <c r="BL80" s="49" t="b">
        <v>0</v>
      </c>
      <c r="BM80" s="49" t="b">
        <v>0</v>
      </c>
      <c r="BO80" s="49" t="b">
        <v>0</v>
      </c>
      <c r="BP80" s="49" t="s">
        <v>155</v>
      </c>
      <c r="BQ80" s="49">
        <v>19</v>
      </c>
      <c r="BR80" s="49" t="s">
        <v>153</v>
      </c>
      <c r="BS80" s="49" t="s">
        <v>156</v>
      </c>
      <c r="BU80" s="49" t="s">
        <v>1124</v>
      </c>
      <c r="BV80" s="49" t="s">
        <v>1125</v>
      </c>
      <c r="BW80" s="49" t="s">
        <v>1125</v>
      </c>
      <c r="BX80" s="49" t="s">
        <v>1125</v>
      </c>
      <c r="BZ80" s="49" t="s">
        <v>1126</v>
      </c>
      <c r="CA80" s="49" t="s">
        <v>1127</v>
      </c>
      <c r="CI80" s="49" t="s">
        <v>161</v>
      </c>
      <c r="CJ80" s="49" t="s">
        <v>323</v>
      </c>
      <c r="CK80" s="49" t="s">
        <v>324</v>
      </c>
      <c r="CL80" s="49" t="s">
        <v>683</v>
      </c>
      <c r="CM80" s="49" t="s">
        <v>683</v>
      </c>
      <c r="CP80" s="49" t="s">
        <v>1128</v>
      </c>
      <c r="CQ80" s="49" t="s">
        <v>1129</v>
      </c>
      <c r="CR80" s="49" t="s">
        <v>1130</v>
      </c>
      <c r="CS80" s="49" t="s">
        <v>170</v>
      </c>
      <c r="CT80" s="49" t="s">
        <v>171</v>
      </c>
      <c r="CU80" s="49" t="s">
        <v>172</v>
      </c>
      <c r="CV80" s="49" t="s">
        <v>173</v>
      </c>
    </row>
    <row r="81" spans="1:113">
      <c r="A81" s="55" t="s">
        <v>1131</v>
      </c>
      <c r="B81" s="55" t="s">
        <v>1132</v>
      </c>
      <c r="C81" s="55" t="s">
        <v>135</v>
      </c>
      <c r="D81" s="55" t="b">
        <v>0</v>
      </c>
      <c r="E81" s="55" t="b">
        <v>0</v>
      </c>
      <c r="F81" s="55" t="s">
        <v>136</v>
      </c>
      <c r="G81" s="55" t="s">
        <v>1133</v>
      </c>
      <c r="H81" s="55" t="s">
        <v>138</v>
      </c>
      <c r="I81" s="55" t="s">
        <v>139</v>
      </c>
      <c r="J81" s="55" t="s">
        <v>136</v>
      </c>
      <c r="K81" s="55" t="b">
        <v>0</v>
      </c>
      <c r="O81" s="55">
        <v>0</v>
      </c>
      <c r="P81" s="56">
        <v>25568.791666666672</v>
      </c>
      <c r="Q81" s="56">
        <v>45882.644108796303</v>
      </c>
      <c r="R81" s="57">
        <v>2</v>
      </c>
      <c r="T81" s="57">
        <v>8192</v>
      </c>
      <c r="U81" s="55">
        <v>901</v>
      </c>
      <c r="V81" s="55">
        <v>3</v>
      </c>
      <c r="W81" s="55">
        <v>2</v>
      </c>
      <c r="X81" s="58">
        <v>112640</v>
      </c>
      <c r="Z81" s="55" t="s">
        <v>832</v>
      </c>
      <c r="AA81" s="55" t="s">
        <v>142</v>
      </c>
      <c r="AC81" s="55" t="b">
        <v>1</v>
      </c>
      <c r="AD81" s="55" t="b">
        <v>1</v>
      </c>
      <c r="AE81" s="55" t="s">
        <v>1134</v>
      </c>
      <c r="AF81" s="55" t="s">
        <v>835</v>
      </c>
      <c r="AG81" s="55" t="s">
        <v>834</v>
      </c>
      <c r="AH81" s="55" t="s">
        <v>836</v>
      </c>
      <c r="AN81" s="55">
        <v>1</v>
      </c>
      <c r="AO81" s="55">
        <v>0</v>
      </c>
      <c r="AP81" s="55" t="s">
        <v>837</v>
      </c>
      <c r="AQ81" s="55" t="s">
        <v>317</v>
      </c>
      <c r="AR81" s="55" t="s">
        <v>318</v>
      </c>
      <c r="AT81" s="55" t="b">
        <v>1</v>
      </c>
      <c r="AU81" s="55" t="s">
        <v>150</v>
      </c>
      <c r="AW81" s="55" t="s">
        <v>151</v>
      </c>
      <c r="AX81" s="55">
        <v>-1</v>
      </c>
      <c r="AY81" s="55">
        <v>-1</v>
      </c>
      <c r="BA81" s="55">
        <v>120964</v>
      </c>
      <c r="BB81" s="55">
        <v>120964</v>
      </c>
      <c r="BC81" s="55">
        <v>112640</v>
      </c>
      <c r="BD81" s="55" t="s">
        <v>152</v>
      </c>
      <c r="BE81" s="55" t="s">
        <v>153</v>
      </c>
      <c r="BF81" s="55" t="s">
        <v>154</v>
      </c>
      <c r="BI81" s="55" t="b">
        <v>0</v>
      </c>
      <c r="BJ81" s="55">
        <v>0</v>
      </c>
      <c r="BK81" s="55">
        <v>10000</v>
      </c>
      <c r="BL81" s="55" t="b">
        <v>0</v>
      </c>
      <c r="BM81" s="55" t="b">
        <v>0</v>
      </c>
      <c r="BO81" s="55" t="b">
        <v>0</v>
      </c>
      <c r="BP81" s="55" t="s">
        <v>155</v>
      </c>
      <c r="BQ81" s="55">
        <v>13</v>
      </c>
      <c r="BR81" s="55" t="s">
        <v>153</v>
      </c>
      <c r="BS81" s="55" t="s">
        <v>156</v>
      </c>
      <c r="BU81" s="55" t="s">
        <v>1135</v>
      </c>
      <c r="BV81" s="55" t="s">
        <v>1136</v>
      </c>
      <c r="BW81" s="55" t="s">
        <v>1136</v>
      </c>
      <c r="BX81" s="55" t="s">
        <v>1136</v>
      </c>
      <c r="BZ81" s="55" t="s">
        <v>1137</v>
      </c>
      <c r="CA81" s="55" t="s">
        <v>1138</v>
      </c>
      <c r="CI81" s="55" t="s">
        <v>161</v>
      </c>
      <c r="CJ81" s="55" t="s">
        <v>844</v>
      </c>
      <c r="CK81" s="55" t="s">
        <v>896</v>
      </c>
      <c r="CL81" s="55" t="s">
        <v>826</v>
      </c>
      <c r="CM81" s="55" t="s">
        <v>826</v>
      </c>
      <c r="CP81" s="55" t="s">
        <v>1139</v>
      </c>
      <c r="CQ81" s="55" t="s">
        <v>1140</v>
      </c>
      <c r="CR81" s="55" t="s">
        <v>1141</v>
      </c>
      <c r="CS81" s="55" t="s">
        <v>170</v>
      </c>
      <c r="CT81" s="55" t="s">
        <v>171</v>
      </c>
      <c r="CU81" s="55" t="s">
        <v>172</v>
      </c>
      <c r="CV81" s="55" t="s">
        <v>173</v>
      </c>
    </row>
    <row r="82" spans="1:113">
      <c r="A82" s="55" t="s">
        <v>1142</v>
      </c>
      <c r="B82" s="55" t="s">
        <v>1143</v>
      </c>
      <c r="C82" s="55" t="s">
        <v>135</v>
      </c>
      <c r="D82" s="55" t="b">
        <v>0</v>
      </c>
      <c r="E82" s="55" t="b">
        <v>0</v>
      </c>
      <c r="F82" s="55" t="s">
        <v>136</v>
      </c>
      <c r="G82" s="55" t="s">
        <v>1144</v>
      </c>
      <c r="H82" s="55" t="s">
        <v>138</v>
      </c>
      <c r="I82" s="55" t="s">
        <v>139</v>
      </c>
      <c r="J82" s="55" t="s">
        <v>136</v>
      </c>
      <c r="K82" s="55" t="b">
        <v>0</v>
      </c>
      <c r="L82" s="56">
        <v>45864.482060185182</v>
      </c>
      <c r="O82" s="55">
        <v>0</v>
      </c>
      <c r="P82" s="56">
        <v>25568.791666666672</v>
      </c>
      <c r="Q82" s="56">
        <v>45864.482037037043</v>
      </c>
      <c r="R82" s="57">
        <v>2</v>
      </c>
      <c r="T82" s="57">
        <v>8192</v>
      </c>
      <c r="U82" s="55">
        <v>3358</v>
      </c>
      <c r="V82" s="55">
        <v>3</v>
      </c>
      <c r="W82" s="55">
        <v>2</v>
      </c>
      <c r="X82" s="58">
        <v>389120</v>
      </c>
      <c r="Z82" s="55" t="s">
        <v>832</v>
      </c>
      <c r="AA82" s="55" t="s">
        <v>142</v>
      </c>
      <c r="AC82" s="55" t="b">
        <v>1</v>
      </c>
      <c r="AD82" s="55" t="b">
        <v>1</v>
      </c>
      <c r="AE82" s="55" t="s">
        <v>1145</v>
      </c>
      <c r="AF82" s="55" t="s">
        <v>835</v>
      </c>
      <c r="AG82" s="55" t="s">
        <v>834</v>
      </c>
      <c r="AH82" s="55" t="s">
        <v>836</v>
      </c>
      <c r="AN82" s="55">
        <v>1</v>
      </c>
      <c r="AO82" s="55">
        <v>0</v>
      </c>
      <c r="AP82" s="55" t="s">
        <v>837</v>
      </c>
      <c r="AQ82" s="55" t="s">
        <v>317</v>
      </c>
      <c r="AR82" s="55" t="s">
        <v>318</v>
      </c>
      <c r="AT82" s="55" t="b">
        <v>1</v>
      </c>
      <c r="AU82" s="55" t="s">
        <v>150</v>
      </c>
      <c r="AW82" s="55" t="s">
        <v>151</v>
      </c>
      <c r="AX82" s="55">
        <v>-1</v>
      </c>
      <c r="AY82" s="55">
        <v>-1</v>
      </c>
      <c r="BA82" s="55">
        <v>397484</v>
      </c>
      <c r="BB82" s="55">
        <v>397484</v>
      </c>
      <c r="BC82" s="55">
        <v>389120</v>
      </c>
      <c r="BD82" s="55" t="s">
        <v>152</v>
      </c>
      <c r="BE82" s="55" t="s">
        <v>153</v>
      </c>
      <c r="BF82" s="55" t="s">
        <v>154</v>
      </c>
      <c r="BI82" s="55" t="b">
        <v>0</v>
      </c>
      <c r="BJ82" s="55">
        <v>0</v>
      </c>
      <c r="BK82" s="55">
        <v>10000</v>
      </c>
      <c r="BL82" s="55" t="b">
        <v>0</v>
      </c>
      <c r="BM82" s="55" t="b">
        <v>0</v>
      </c>
      <c r="BO82" s="55" t="b">
        <v>0</v>
      </c>
      <c r="BP82" s="55" t="s">
        <v>155</v>
      </c>
      <c r="BQ82" s="55">
        <v>13</v>
      </c>
      <c r="BR82" s="55" t="s">
        <v>153</v>
      </c>
      <c r="BS82" s="55" t="s">
        <v>156</v>
      </c>
      <c r="BU82" s="55" t="s">
        <v>1146</v>
      </c>
      <c r="BV82" s="55" t="s">
        <v>1147</v>
      </c>
      <c r="BW82" s="55" t="s">
        <v>1147</v>
      </c>
      <c r="BX82" s="55" t="s">
        <v>1147</v>
      </c>
      <c r="BZ82" s="55" t="s">
        <v>1148</v>
      </c>
      <c r="CA82" s="55" t="s">
        <v>1149</v>
      </c>
      <c r="CI82" s="55" t="s">
        <v>161</v>
      </c>
      <c r="CJ82" s="55" t="s">
        <v>844</v>
      </c>
      <c r="CK82" s="55" t="s">
        <v>1100</v>
      </c>
      <c r="CL82" s="55" t="s">
        <v>826</v>
      </c>
      <c r="CM82" s="55" t="s">
        <v>826</v>
      </c>
      <c r="CP82" s="55" t="s">
        <v>1150</v>
      </c>
      <c r="CQ82" s="55" t="s">
        <v>1151</v>
      </c>
      <c r="CR82" s="55" t="s">
        <v>1152</v>
      </c>
      <c r="CS82" s="55" t="s">
        <v>170</v>
      </c>
      <c r="CT82" s="55" t="s">
        <v>171</v>
      </c>
      <c r="CU82" s="55" t="s">
        <v>172</v>
      </c>
      <c r="CV82" s="55" t="s">
        <v>173</v>
      </c>
    </row>
    <row r="83" spans="1:113">
      <c r="A83" s="55" t="s">
        <v>1153</v>
      </c>
      <c r="B83" s="55" t="s">
        <v>1154</v>
      </c>
      <c r="C83" s="55" t="s">
        <v>135</v>
      </c>
      <c r="D83" s="55" t="b">
        <v>0</v>
      </c>
      <c r="E83" s="55" t="b">
        <v>0</v>
      </c>
      <c r="F83" s="55" t="s">
        <v>136</v>
      </c>
      <c r="G83" s="55" t="s">
        <v>1155</v>
      </c>
      <c r="H83" s="55" t="s">
        <v>138</v>
      </c>
      <c r="I83" s="55" t="s">
        <v>139</v>
      </c>
      <c r="J83" s="55" t="s">
        <v>136</v>
      </c>
      <c r="K83" s="55" t="b">
        <v>0</v>
      </c>
      <c r="L83" s="56">
        <v>45131.867476851847</v>
      </c>
      <c r="O83" s="55">
        <v>0</v>
      </c>
      <c r="P83" s="56">
        <v>25568.791666666672</v>
      </c>
      <c r="Q83" s="56">
        <v>45882.644224537027</v>
      </c>
      <c r="R83" s="57">
        <v>2</v>
      </c>
      <c r="T83" s="57">
        <v>4096</v>
      </c>
      <c r="U83" s="55">
        <v>614</v>
      </c>
      <c r="V83" s="55">
        <v>3</v>
      </c>
      <c r="W83" s="55">
        <v>4</v>
      </c>
      <c r="X83" s="58">
        <v>399360</v>
      </c>
      <c r="Z83" s="55" t="s">
        <v>832</v>
      </c>
      <c r="AA83" s="55" t="s">
        <v>142</v>
      </c>
      <c r="AC83" s="55" t="b">
        <v>1</v>
      </c>
      <c r="AD83" s="55" t="b">
        <v>1</v>
      </c>
      <c r="AE83" s="55" t="s">
        <v>1156</v>
      </c>
      <c r="AF83" s="55" t="s">
        <v>834</v>
      </c>
      <c r="AG83" s="55" t="s">
        <v>835</v>
      </c>
      <c r="AH83" s="55" t="s">
        <v>836</v>
      </c>
      <c r="AN83" s="55">
        <v>1</v>
      </c>
      <c r="AO83" s="55">
        <v>0</v>
      </c>
      <c r="AP83" s="55" t="s">
        <v>837</v>
      </c>
      <c r="AQ83" s="55" t="s">
        <v>317</v>
      </c>
      <c r="AR83" s="55" t="s">
        <v>318</v>
      </c>
      <c r="AT83" s="55" t="b">
        <v>1</v>
      </c>
      <c r="AU83" s="55" t="s">
        <v>150</v>
      </c>
      <c r="AW83" s="55" t="s">
        <v>151</v>
      </c>
      <c r="AX83" s="55">
        <v>-1</v>
      </c>
      <c r="AY83" s="55">
        <v>-1</v>
      </c>
      <c r="BA83" s="55">
        <v>403730</v>
      </c>
      <c r="BB83" s="55">
        <v>403730</v>
      </c>
      <c r="BC83" s="55">
        <v>399360</v>
      </c>
      <c r="BD83" s="55" t="s">
        <v>152</v>
      </c>
      <c r="BE83" s="55" t="s">
        <v>153</v>
      </c>
      <c r="BF83" s="55" t="s">
        <v>154</v>
      </c>
      <c r="BI83" s="55" t="b">
        <v>0</v>
      </c>
      <c r="BJ83" s="55">
        <v>0</v>
      </c>
      <c r="BK83" s="55">
        <v>10000</v>
      </c>
      <c r="BL83" s="55" t="b">
        <v>0</v>
      </c>
      <c r="BM83" s="55" t="b">
        <v>0</v>
      </c>
      <c r="BO83" s="55" t="b">
        <v>0</v>
      </c>
      <c r="BP83" s="55" t="s">
        <v>155</v>
      </c>
      <c r="BQ83" s="55">
        <v>13</v>
      </c>
      <c r="BR83" s="55" t="s">
        <v>153</v>
      </c>
      <c r="BS83" s="55" t="s">
        <v>156</v>
      </c>
      <c r="BU83" s="55" t="s">
        <v>1157</v>
      </c>
      <c r="BV83" s="55" t="s">
        <v>1158</v>
      </c>
      <c r="BW83" s="55" t="s">
        <v>1158</v>
      </c>
      <c r="BX83" s="55" t="s">
        <v>1158</v>
      </c>
      <c r="BZ83" s="55" t="s">
        <v>1159</v>
      </c>
      <c r="CA83" s="55" t="s">
        <v>1160</v>
      </c>
      <c r="CI83" s="55" t="s">
        <v>161</v>
      </c>
      <c r="CJ83" s="55" t="s">
        <v>844</v>
      </c>
      <c r="CK83" s="55" t="s">
        <v>896</v>
      </c>
      <c r="CL83" s="55" t="s">
        <v>882</v>
      </c>
      <c r="CM83" s="55" t="s">
        <v>882</v>
      </c>
      <c r="CP83" s="55" t="s">
        <v>1161</v>
      </c>
      <c r="CQ83" s="55" t="s">
        <v>1162</v>
      </c>
      <c r="CR83" s="55" t="s">
        <v>1163</v>
      </c>
      <c r="CS83" s="55" t="s">
        <v>170</v>
      </c>
      <c r="CT83" s="55" t="s">
        <v>171</v>
      </c>
      <c r="CU83" s="55" t="s">
        <v>172</v>
      </c>
      <c r="CV83" s="55" t="s">
        <v>173</v>
      </c>
    </row>
    <row r="84" spans="1:113">
      <c r="A84" s="55" t="s">
        <v>1164</v>
      </c>
      <c r="B84" s="55" t="s">
        <v>1165</v>
      </c>
      <c r="C84" s="55" t="s">
        <v>135</v>
      </c>
      <c r="D84" s="55" t="b">
        <v>0</v>
      </c>
      <c r="E84" s="55" t="b">
        <v>0</v>
      </c>
      <c r="F84" s="55" t="s">
        <v>136</v>
      </c>
      <c r="G84" s="55" t="s">
        <v>1166</v>
      </c>
      <c r="H84" s="55" t="s">
        <v>138</v>
      </c>
      <c r="I84" s="55" t="s">
        <v>139</v>
      </c>
      <c r="J84" s="55" t="s">
        <v>136</v>
      </c>
      <c r="K84" s="55" t="b">
        <v>0</v>
      </c>
      <c r="L84" s="56">
        <v>45897.6484375</v>
      </c>
      <c r="O84" s="55">
        <v>0</v>
      </c>
      <c r="P84" s="56">
        <v>25568.791666666672</v>
      </c>
      <c r="Q84" s="56">
        <v>45897.677615740737</v>
      </c>
      <c r="R84" s="57">
        <v>4</v>
      </c>
      <c r="S84" s="55" t="s">
        <v>140</v>
      </c>
      <c r="T84" s="57">
        <v>8192</v>
      </c>
      <c r="U84" s="55">
        <v>655</v>
      </c>
      <c r="V84" s="55">
        <v>3</v>
      </c>
      <c r="W84" s="55">
        <v>4</v>
      </c>
      <c r="X84" s="58">
        <v>378880</v>
      </c>
      <c r="Z84" s="55" t="s">
        <v>311</v>
      </c>
      <c r="AA84" s="55" t="s">
        <v>142</v>
      </c>
      <c r="AC84" s="55" t="b">
        <v>1</v>
      </c>
      <c r="AD84" s="55" t="b">
        <v>1</v>
      </c>
      <c r="AE84" s="55" t="s">
        <v>1167</v>
      </c>
      <c r="AF84" s="55" t="s">
        <v>930</v>
      </c>
      <c r="AG84" s="55" t="s">
        <v>654</v>
      </c>
      <c r="AH84" s="55" t="s">
        <v>315</v>
      </c>
      <c r="AN84" s="55">
        <v>1</v>
      </c>
      <c r="AO84" s="55">
        <v>16384</v>
      </c>
      <c r="AP84" s="55" t="s">
        <v>416</v>
      </c>
      <c r="AQ84" s="55" t="s">
        <v>317</v>
      </c>
      <c r="AR84" s="55" t="s">
        <v>318</v>
      </c>
      <c r="AT84" s="55" t="b">
        <v>1</v>
      </c>
      <c r="AU84" s="55" t="s">
        <v>150</v>
      </c>
      <c r="AW84" s="55" t="s">
        <v>151</v>
      </c>
      <c r="AX84" s="55">
        <v>-1</v>
      </c>
      <c r="AY84" s="55">
        <v>-1</v>
      </c>
      <c r="BA84" s="55">
        <v>387404</v>
      </c>
      <c r="BB84" s="55">
        <v>387404</v>
      </c>
      <c r="BC84" s="55">
        <v>378880</v>
      </c>
      <c r="BD84" s="55" t="s">
        <v>152</v>
      </c>
      <c r="BE84" s="55" t="s">
        <v>153</v>
      </c>
      <c r="BF84" s="55" t="s">
        <v>154</v>
      </c>
      <c r="BI84" s="55" t="b">
        <v>0</v>
      </c>
      <c r="BJ84" s="55">
        <v>0</v>
      </c>
      <c r="BK84" s="55">
        <v>10000</v>
      </c>
      <c r="BL84" s="55" t="b">
        <v>0</v>
      </c>
      <c r="BM84" s="55" t="b">
        <v>0</v>
      </c>
      <c r="BO84" s="55" t="b">
        <v>0</v>
      </c>
      <c r="BP84" s="55" t="s">
        <v>155</v>
      </c>
      <c r="BQ84" s="55">
        <v>19</v>
      </c>
      <c r="BR84" s="55" t="s">
        <v>153</v>
      </c>
      <c r="BS84" s="55" t="s">
        <v>156</v>
      </c>
      <c r="BU84" s="55" t="s">
        <v>1168</v>
      </c>
      <c r="BV84" s="55" t="s">
        <v>1169</v>
      </c>
      <c r="BW84" s="55" t="s">
        <v>1169</v>
      </c>
      <c r="BX84" s="55" t="s">
        <v>1169</v>
      </c>
      <c r="BZ84" s="55" t="s">
        <v>1170</v>
      </c>
      <c r="CA84" s="55" t="s">
        <v>1171</v>
      </c>
      <c r="CI84" s="55" t="s">
        <v>161</v>
      </c>
      <c r="CJ84" s="55" t="s">
        <v>323</v>
      </c>
      <c r="CK84" s="55" t="s">
        <v>446</v>
      </c>
      <c r="CL84" s="55" t="s">
        <v>882</v>
      </c>
      <c r="CM84" s="55" t="s">
        <v>826</v>
      </c>
      <c r="CN84" s="55" t="s">
        <v>166</v>
      </c>
      <c r="CP84" s="55" t="s">
        <v>1172</v>
      </c>
      <c r="CQ84" s="55" t="s">
        <v>1173</v>
      </c>
      <c r="CR84" s="55" t="s">
        <v>1174</v>
      </c>
      <c r="CS84" s="55" t="s">
        <v>170</v>
      </c>
      <c r="CT84" s="55" t="s">
        <v>171</v>
      </c>
      <c r="CU84" s="55" t="s">
        <v>172</v>
      </c>
      <c r="CV84" s="55" t="s">
        <v>173</v>
      </c>
    </row>
    <row r="85" spans="1:113">
      <c r="A85" s="55" t="s">
        <v>1175</v>
      </c>
      <c r="B85" s="55" t="s">
        <v>1176</v>
      </c>
      <c r="C85" s="55" t="s">
        <v>135</v>
      </c>
      <c r="D85" s="55" t="b">
        <v>0</v>
      </c>
      <c r="E85" s="55" t="b">
        <v>0</v>
      </c>
      <c r="F85" s="55" t="s">
        <v>136</v>
      </c>
      <c r="G85" s="55" t="s">
        <v>1177</v>
      </c>
      <c r="H85" s="55" t="s">
        <v>138</v>
      </c>
      <c r="I85" s="55" t="s">
        <v>139</v>
      </c>
      <c r="J85" s="55" t="s">
        <v>136</v>
      </c>
      <c r="K85" s="55" t="b">
        <v>0</v>
      </c>
      <c r="L85" s="56">
        <v>45774.955312500002</v>
      </c>
      <c r="O85" s="55">
        <v>0</v>
      </c>
      <c r="P85" s="56">
        <v>25568.791666666672</v>
      </c>
      <c r="Q85" s="56">
        <v>45567.676145833328</v>
      </c>
      <c r="R85" s="57">
        <v>2</v>
      </c>
      <c r="T85" s="57">
        <v>8192</v>
      </c>
      <c r="U85" s="55">
        <v>409</v>
      </c>
      <c r="V85" s="55">
        <v>3</v>
      </c>
      <c r="W85" s="55">
        <v>2</v>
      </c>
      <c r="X85" s="58">
        <v>103424</v>
      </c>
      <c r="Z85" s="55" t="s">
        <v>832</v>
      </c>
      <c r="AA85" s="55" t="s">
        <v>142</v>
      </c>
      <c r="AD85" s="55" t="b">
        <v>1</v>
      </c>
      <c r="AE85" s="55" t="s">
        <v>1178</v>
      </c>
      <c r="AF85" s="55" t="s">
        <v>835</v>
      </c>
      <c r="AG85" s="55" t="s">
        <v>834</v>
      </c>
      <c r="AH85" s="55" t="s">
        <v>836</v>
      </c>
      <c r="AN85" s="55">
        <v>1</v>
      </c>
      <c r="AO85" s="55">
        <v>0</v>
      </c>
      <c r="AP85" s="55" t="s">
        <v>837</v>
      </c>
      <c r="AQ85" s="55" t="s">
        <v>317</v>
      </c>
      <c r="AR85" s="55" t="s">
        <v>318</v>
      </c>
      <c r="AT85" s="55" t="b">
        <v>1</v>
      </c>
      <c r="AU85" s="55" t="s">
        <v>150</v>
      </c>
      <c r="AW85" s="55" t="s">
        <v>151</v>
      </c>
      <c r="AX85" s="55">
        <v>-1</v>
      </c>
      <c r="AY85" s="55">
        <v>-1</v>
      </c>
      <c r="BA85" s="55">
        <v>111755</v>
      </c>
      <c r="BB85" s="55">
        <v>111755</v>
      </c>
      <c r="BC85" s="55">
        <v>103424</v>
      </c>
      <c r="BD85" s="55" t="s">
        <v>152</v>
      </c>
      <c r="BE85" s="55" t="s">
        <v>153</v>
      </c>
      <c r="BF85" s="55" t="s">
        <v>154</v>
      </c>
      <c r="BI85" s="55" t="b">
        <v>0</v>
      </c>
      <c r="BJ85" s="55">
        <v>0</v>
      </c>
      <c r="BK85" s="55">
        <v>10000</v>
      </c>
      <c r="BL85" s="55" t="b">
        <v>0</v>
      </c>
      <c r="BM85" s="55" t="b">
        <v>0</v>
      </c>
      <c r="BO85" s="55" t="b">
        <v>0</v>
      </c>
      <c r="BP85" s="55" t="s">
        <v>155</v>
      </c>
      <c r="BQ85" s="55">
        <v>13</v>
      </c>
      <c r="BR85" s="55" t="s">
        <v>153</v>
      </c>
      <c r="BS85" s="55" t="s">
        <v>156</v>
      </c>
      <c r="BU85" s="55" t="s">
        <v>1179</v>
      </c>
      <c r="BV85" s="55" t="s">
        <v>1180</v>
      </c>
      <c r="BW85" s="55" t="s">
        <v>1180</v>
      </c>
      <c r="BX85" s="55" t="s">
        <v>1180</v>
      </c>
      <c r="BZ85" s="55" t="s">
        <v>1181</v>
      </c>
      <c r="CA85" s="55" t="s">
        <v>1182</v>
      </c>
      <c r="CI85" s="55" t="s">
        <v>161</v>
      </c>
      <c r="CJ85" s="55" t="s">
        <v>844</v>
      </c>
      <c r="CK85" s="55" t="s">
        <v>881</v>
      </c>
      <c r="CL85" s="55" t="s">
        <v>1115</v>
      </c>
      <c r="CM85" s="55" t="s">
        <v>1116</v>
      </c>
      <c r="CP85" s="55" t="s">
        <v>1183</v>
      </c>
      <c r="CQ85" s="55" t="s">
        <v>1184</v>
      </c>
      <c r="CR85" s="55" t="s">
        <v>1185</v>
      </c>
      <c r="CS85" s="55" t="s">
        <v>170</v>
      </c>
      <c r="CT85" s="55" t="s">
        <v>171</v>
      </c>
      <c r="CU85" s="55" t="s">
        <v>172</v>
      </c>
      <c r="CV85" s="55" t="s">
        <v>173</v>
      </c>
    </row>
    <row r="86" spans="1:113">
      <c r="A86" s="55" t="s">
        <v>1175</v>
      </c>
      <c r="B86" s="55" t="s">
        <v>1186</v>
      </c>
      <c r="C86" s="55" t="s">
        <v>135</v>
      </c>
      <c r="D86" s="55" t="b">
        <v>0</v>
      </c>
      <c r="E86" s="55" t="b">
        <v>0</v>
      </c>
      <c r="F86" s="55" t="s">
        <v>136</v>
      </c>
      <c r="G86" s="55" t="s">
        <v>1187</v>
      </c>
      <c r="H86" s="55" t="s">
        <v>138</v>
      </c>
      <c r="I86" s="55" t="s">
        <v>139</v>
      </c>
      <c r="J86" s="55" t="s">
        <v>136</v>
      </c>
      <c r="K86" s="55" t="b">
        <v>0</v>
      </c>
      <c r="L86" s="56">
        <v>45784.70449074074</v>
      </c>
      <c r="O86" s="55">
        <v>0</v>
      </c>
      <c r="P86" s="56">
        <v>44754.562638888892</v>
      </c>
      <c r="Q86" s="56">
        <v>45784.70449074074</v>
      </c>
      <c r="R86" s="57">
        <v>2</v>
      </c>
      <c r="T86" s="57">
        <v>8192</v>
      </c>
      <c r="U86" s="55">
        <v>409</v>
      </c>
      <c r="V86" s="55">
        <v>3</v>
      </c>
      <c r="W86" s="55">
        <v>2</v>
      </c>
      <c r="X86" s="58">
        <v>103424</v>
      </c>
      <c r="Z86" s="55" t="s">
        <v>832</v>
      </c>
      <c r="AA86" s="55" t="s">
        <v>142</v>
      </c>
      <c r="AD86" s="55" t="b">
        <v>1</v>
      </c>
      <c r="AE86" s="55" t="s">
        <v>1178</v>
      </c>
      <c r="AF86" s="55" t="s">
        <v>835</v>
      </c>
      <c r="AG86" s="55" t="s">
        <v>834</v>
      </c>
      <c r="AH86" s="55" t="s">
        <v>836</v>
      </c>
      <c r="AN86" s="55">
        <v>1</v>
      </c>
      <c r="AO86" s="55">
        <v>0</v>
      </c>
      <c r="AP86" s="55" t="s">
        <v>837</v>
      </c>
      <c r="AQ86" s="55" t="s">
        <v>317</v>
      </c>
      <c r="AR86" s="55" t="s">
        <v>318</v>
      </c>
      <c r="AT86" s="55" t="b">
        <v>1</v>
      </c>
      <c r="AU86" s="55" t="s">
        <v>150</v>
      </c>
      <c r="AW86" s="55" t="s">
        <v>151</v>
      </c>
      <c r="AX86" s="55">
        <v>-1</v>
      </c>
      <c r="AY86" s="55">
        <v>-1</v>
      </c>
      <c r="BA86" s="55">
        <v>111705</v>
      </c>
      <c r="BB86" s="55">
        <v>111705</v>
      </c>
      <c r="BC86" s="55">
        <v>103424</v>
      </c>
      <c r="BD86" s="55" t="s">
        <v>152</v>
      </c>
      <c r="BE86" s="55" t="s">
        <v>153</v>
      </c>
      <c r="BF86" s="55" t="s">
        <v>154</v>
      </c>
      <c r="BI86" s="55" t="b">
        <v>0</v>
      </c>
      <c r="BJ86" s="55">
        <v>0</v>
      </c>
      <c r="BK86" s="55">
        <v>10000</v>
      </c>
      <c r="BL86" s="55" t="b">
        <v>0</v>
      </c>
      <c r="BM86" s="55" t="b">
        <v>0</v>
      </c>
      <c r="BO86" s="55" t="b">
        <v>0</v>
      </c>
      <c r="BP86" s="55" t="s">
        <v>155</v>
      </c>
      <c r="BQ86" s="55">
        <v>13</v>
      </c>
      <c r="BR86" s="55" t="s">
        <v>153</v>
      </c>
      <c r="BS86" s="55" t="s">
        <v>156</v>
      </c>
      <c r="BU86" s="55" t="s">
        <v>1188</v>
      </c>
      <c r="BV86" s="55" t="s">
        <v>1189</v>
      </c>
      <c r="BW86" s="55" t="s">
        <v>1189</v>
      </c>
      <c r="BX86" s="55" t="s">
        <v>1189</v>
      </c>
      <c r="CI86" s="55" t="s">
        <v>161</v>
      </c>
      <c r="CJ86" s="55" t="s">
        <v>844</v>
      </c>
      <c r="CK86" s="55" t="s">
        <v>881</v>
      </c>
      <c r="CL86" s="55" t="s">
        <v>1115</v>
      </c>
      <c r="CM86" s="55" t="s">
        <v>1116</v>
      </c>
      <c r="CP86" s="55" t="s">
        <v>1190</v>
      </c>
      <c r="CQ86" s="55" t="s">
        <v>1191</v>
      </c>
      <c r="CR86" s="55" t="s">
        <v>1192</v>
      </c>
      <c r="CS86" s="55" t="s">
        <v>170</v>
      </c>
      <c r="CT86" s="55" t="s">
        <v>171</v>
      </c>
      <c r="CU86" s="55" t="s">
        <v>172</v>
      </c>
      <c r="CV86" s="55" t="s">
        <v>173</v>
      </c>
    </row>
    <row r="87" spans="1:113">
      <c r="A87" s="55" t="s">
        <v>1193</v>
      </c>
      <c r="B87" s="55" t="s">
        <v>1194</v>
      </c>
      <c r="C87" s="55" t="s">
        <v>135</v>
      </c>
      <c r="D87" s="55" t="b">
        <v>0</v>
      </c>
      <c r="E87" s="55" t="b">
        <v>0</v>
      </c>
      <c r="F87" s="55" t="s">
        <v>136</v>
      </c>
      <c r="G87" s="55" t="s">
        <v>1195</v>
      </c>
      <c r="H87" s="55" t="s">
        <v>138</v>
      </c>
      <c r="I87" s="55" t="s">
        <v>139</v>
      </c>
      <c r="J87" s="55" t="s">
        <v>136</v>
      </c>
      <c r="K87" s="55" t="b">
        <v>0</v>
      </c>
      <c r="L87" s="56">
        <v>45227.643750000003</v>
      </c>
      <c r="O87" s="55">
        <v>0</v>
      </c>
      <c r="P87" s="56">
        <v>25568.791666666672</v>
      </c>
      <c r="Q87" s="56">
        <v>45227.64371527778</v>
      </c>
      <c r="R87" s="57">
        <v>8</v>
      </c>
      <c r="T87" s="57">
        <v>32768</v>
      </c>
      <c r="U87" s="55">
        <v>655</v>
      </c>
      <c r="V87" s="55">
        <v>3</v>
      </c>
      <c r="W87" s="55">
        <v>3</v>
      </c>
      <c r="X87" s="58">
        <v>1939456</v>
      </c>
      <c r="Z87" s="55" t="s">
        <v>832</v>
      </c>
      <c r="AA87" s="55" t="s">
        <v>142</v>
      </c>
      <c r="AC87" s="55" t="b">
        <v>1</v>
      </c>
      <c r="AD87" s="55" t="b">
        <v>1</v>
      </c>
      <c r="AE87" s="55" t="s">
        <v>1196</v>
      </c>
      <c r="AF87" s="55" t="s">
        <v>834</v>
      </c>
      <c r="AG87" s="55" t="s">
        <v>835</v>
      </c>
      <c r="AH87" s="55" t="s">
        <v>836</v>
      </c>
      <c r="AN87" s="55">
        <v>1</v>
      </c>
      <c r="AO87" s="55">
        <v>0</v>
      </c>
      <c r="AP87" s="55" t="s">
        <v>837</v>
      </c>
      <c r="AQ87" s="55" t="s">
        <v>317</v>
      </c>
      <c r="AR87" s="55" t="s">
        <v>318</v>
      </c>
      <c r="AT87" s="55" t="b">
        <v>1</v>
      </c>
      <c r="AU87" s="55" t="s">
        <v>150</v>
      </c>
      <c r="AW87" s="55" t="s">
        <v>151</v>
      </c>
      <c r="AX87" s="55">
        <v>-1</v>
      </c>
      <c r="AY87" s="55">
        <v>-1</v>
      </c>
      <c r="BA87" s="55">
        <v>1972488</v>
      </c>
      <c r="BB87" s="55">
        <v>1972488</v>
      </c>
      <c r="BC87" s="55">
        <v>1939456</v>
      </c>
      <c r="BD87" s="55" t="s">
        <v>152</v>
      </c>
      <c r="BE87" s="55" t="s">
        <v>153</v>
      </c>
      <c r="BF87" s="55" t="s">
        <v>154</v>
      </c>
      <c r="BI87" s="55" t="b">
        <v>0</v>
      </c>
      <c r="BJ87" s="55">
        <v>0</v>
      </c>
      <c r="BK87" s="55">
        <v>10000</v>
      </c>
      <c r="BL87" s="55" t="b">
        <v>0</v>
      </c>
      <c r="BM87" s="55" t="b">
        <v>0</v>
      </c>
      <c r="BO87" s="55" t="b">
        <v>0</v>
      </c>
      <c r="BP87" s="55" t="s">
        <v>155</v>
      </c>
      <c r="BQ87" s="55">
        <v>15</v>
      </c>
      <c r="BR87" s="55" t="s">
        <v>153</v>
      </c>
      <c r="BS87" s="55" t="s">
        <v>156</v>
      </c>
      <c r="BU87" s="55" t="s">
        <v>1197</v>
      </c>
      <c r="BV87" s="55" t="s">
        <v>1198</v>
      </c>
      <c r="BW87" s="55" t="s">
        <v>1198</v>
      </c>
      <c r="BX87" s="55" t="s">
        <v>1198</v>
      </c>
      <c r="BY87" s="55" t="s">
        <v>1199</v>
      </c>
      <c r="BZ87" s="55" t="s">
        <v>1200</v>
      </c>
      <c r="CA87" s="55" t="s">
        <v>1201</v>
      </c>
      <c r="CI87" s="55" t="s">
        <v>161</v>
      </c>
      <c r="CJ87" s="55" t="s">
        <v>844</v>
      </c>
      <c r="CK87" s="55" t="s">
        <v>881</v>
      </c>
      <c r="CL87" s="55" t="s">
        <v>826</v>
      </c>
      <c r="CM87" s="55" t="s">
        <v>826</v>
      </c>
      <c r="CP87" s="55" t="s">
        <v>1202</v>
      </c>
      <c r="CQ87" s="55" t="s">
        <v>1203</v>
      </c>
      <c r="CR87" s="55" t="s">
        <v>1204</v>
      </c>
      <c r="CS87" s="55" t="s">
        <v>170</v>
      </c>
      <c r="CT87" s="55" t="s">
        <v>171</v>
      </c>
      <c r="CU87" s="55" t="s">
        <v>172</v>
      </c>
      <c r="CV87" s="55" t="s">
        <v>173</v>
      </c>
    </row>
    <row r="88" spans="1:113">
      <c r="A88" s="55" t="s">
        <v>1205</v>
      </c>
      <c r="B88" s="55" t="s">
        <v>1206</v>
      </c>
      <c r="C88" s="55" t="s">
        <v>135</v>
      </c>
      <c r="D88" s="55" t="b">
        <v>0</v>
      </c>
      <c r="E88" s="55" t="b">
        <v>0</v>
      </c>
      <c r="F88" s="55" t="s">
        <v>136</v>
      </c>
      <c r="G88" s="55" t="s">
        <v>1207</v>
      </c>
      <c r="H88" s="55" t="s">
        <v>138</v>
      </c>
      <c r="I88" s="55" t="s">
        <v>139</v>
      </c>
      <c r="J88" s="55" t="s">
        <v>136</v>
      </c>
      <c r="K88" s="55" t="b">
        <v>0</v>
      </c>
      <c r="L88" s="56">
        <v>45773.992638888893</v>
      </c>
      <c r="O88" s="55">
        <v>0</v>
      </c>
      <c r="P88" s="56">
        <v>25568.791666666672</v>
      </c>
      <c r="Q88" s="56">
        <v>45773.992627314823</v>
      </c>
      <c r="R88" s="57">
        <v>2</v>
      </c>
      <c r="T88" s="57">
        <v>8192</v>
      </c>
      <c r="U88" s="55">
        <v>3276</v>
      </c>
      <c r="V88" s="55">
        <v>3</v>
      </c>
      <c r="W88" s="55">
        <v>2</v>
      </c>
      <c r="X88" s="58">
        <v>204800</v>
      </c>
      <c r="Z88" s="55" t="s">
        <v>832</v>
      </c>
      <c r="AA88" s="55" t="s">
        <v>142</v>
      </c>
      <c r="AC88" s="55" t="b">
        <v>1</v>
      </c>
      <c r="AD88" s="55" t="b">
        <v>1</v>
      </c>
      <c r="AE88" s="55" t="s">
        <v>1208</v>
      </c>
      <c r="AF88" s="55" t="s">
        <v>834</v>
      </c>
      <c r="AG88" s="55" t="s">
        <v>835</v>
      </c>
      <c r="AH88" s="55" t="s">
        <v>836</v>
      </c>
      <c r="AN88" s="55">
        <v>1</v>
      </c>
      <c r="AO88" s="55">
        <v>0</v>
      </c>
      <c r="AP88" s="55" t="s">
        <v>837</v>
      </c>
      <c r="AQ88" s="55" t="s">
        <v>317</v>
      </c>
      <c r="AR88" s="55" t="s">
        <v>318</v>
      </c>
      <c r="AT88" s="55" t="b">
        <v>1</v>
      </c>
      <c r="AU88" s="55" t="s">
        <v>150</v>
      </c>
      <c r="AW88" s="55" t="s">
        <v>151</v>
      </c>
      <c r="AX88" s="55">
        <v>-1</v>
      </c>
      <c r="AY88" s="55">
        <v>-1</v>
      </c>
      <c r="BA88" s="55">
        <v>213165</v>
      </c>
      <c r="BB88" s="55">
        <v>213165</v>
      </c>
      <c r="BC88" s="55">
        <v>204800</v>
      </c>
      <c r="BD88" s="55" t="s">
        <v>152</v>
      </c>
      <c r="BE88" s="55" t="s">
        <v>153</v>
      </c>
      <c r="BF88" s="55" t="s">
        <v>154</v>
      </c>
      <c r="BI88" s="55" t="b">
        <v>0</v>
      </c>
      <c r="BJ88" s="55">
        <v>0</v>
      </c>
      <c r="BK88" s="55">
        <v>10000</v>
      </c>
      <c r="BL88" s="55" t="b">
        <v>0</v>
      </c>
      <c r="BM88" s="55" t="b">
        <v>0</v>
      </c>
      <c r="BO88" s="55" t="b">
        <v>0</v>
      </c>
      <c r="BP88" s="55" t="s">
        <v>155</v>
      </c>
      <c r="BQ88" s="55">
        <v>13</v>
      </c>
      <c r="BR88" s="55" t="s">
        <v>153</v>
      </c>
      <c r="BS88" s="55" t="s">
        <v>156</v>
      </c>
      <c r="BU88" s="55" t="s">
        <v>1209</v>
      </c>
      <c r="BV88" s="55" t="s">
        <v>1210</v>
      </c>
      <c r="BW88" s="55" t="s">
        <v>1210</v>
      </c>
      <c r="BX88" s="55" t="s">
        <v>1210</v>
      </c>
      <c r="BZ88" s="55" t="s">
        <v>1211</v>
      </c>
      <c r="CA88" s="55" t="s">
        <v>1212</v>
      </c>
      <c r="CI88" s="55" t="s">
        <v>161</v>
      </c>
      <c r="CJ88" s="55" t="s">
        <v>844</v>
      </c>
      <c r="CK88" s="55" t="s">
        <v>845</v>
      </c>
      <c r="CL88" s="55" t="s">
        <v>826</v>
      </c>
      <c r="CM88" s="55" t="s">
        <v>826</v>
      </c>
      <c r="CP88" s="55" t="s">
        <v>1213</v>
      </c>
      <c r="CQ88" s="55" t="s">
        <v>1214</v>
      </c>
      <c r="CR88" s="55" t="s">
        <v>1215</v>
      </c>
      <c r="CS88" s="55" t="s">
        <v>170</v>
      </c>
      <c r="CT88" s="55" t="s">
        <v>171</v>
      </c>
      <c r="CU88" s="55" t="s">
        <v>172</v>
      </c>
      <c r="CV88" s="55" t="s">
        <v>173</v>
      </c>
    </row>
    <row r="89" spans="1:113" s="49" customFormat="1">
      <c r="A89" s="55" t="s">
        <v>1216</v>
      </c>
      <c r="B89" s="55" t="s">
        <v>1217</v>
      </c>
      <c r="C89" s="55" t="s">
        <v>135</v>
      </c>
      <c r="D89" s="55" t="b">
        <v>0</v>
      </c>
      <c r="E89" s="55" t="b">
        <v>0</v>
      </c>
      <c r="F89" s="55" t="s">
        <v>136</v>
      </c>
      <c r="G89" s="55" t="s">
        <v>1218</v>
      </c>
      <c r="H89" s="55" t="s">
        <v>138</v>
      </c>
      <c r="I89" s="55" t="s">
        <v>139</v>
      </c>
      <c r="J89" s="55" t="s">
        <v>136</v>
      </c>
      <c r="K89" s="55" t="b">
        <v>0</v>
      </c>
      <c r="L89" s="56">
        <v>45897.60633101852</v>
      </c>
      <c r="M89" s="55"/>
      <c r="N89" s="55"/>
      <c r="O89" s="55">
        <v>0</v>
      </c>
      <c r="P89" s="56">
        <v>45102.344131944446</v>
      </c>
      <c r="Q89" s="56">
        <v>45897.614976851852</v>
      </c>
      <c r="R89" s="57">
        <v>8</v>
      </c>
      <c r="S89" s="55" t="s">
        <v>140</v>
      </c>
      <c r="T89" s="57">
        <v>8192</v>
      </c>
      <c r="U89" s="55">
        <v>409</v>
      </c>
      <c r="V89" s="55">
        <v>3</v>
      </c>
      <c r="W89" s="55">
        <v>2</v>
      </c>
      <c r="X89" s="58">
        <v>204800</v>
      </c>
      <c r="Y89" s="55"/>
      <c r="Z89" s="55" t="s">
        <v>311</v>
      </c>
      <c r="AA89" s="55" t="s">
        <v>142</v>
      </c>
      <c r="AB89" s="55"/>
      <c r="AC89" s="55" t="b">
        <v>1</v>
      </c>
      <c r="AD89" s="55" t="b">
        <v>1</v>
      </c>
      <c r="AE89" s="55" t="s">
        <v>1219</v>
      </c>
      <c r="AF89" s="55" t="s">
        <v>930</v>
      </c>
      <c r="AG89" s="55" t="s">
        <v>654</v>
      </c>
      <c r="AH89" s="55" t="s">
        <v>315</v>
      </c>
      <c r="AI89" s="55"/>
      <c r="AJ89" s="55"/>
      <c r="AK89" s="55"/>
      <c r="AL89" s="55"/>
      <c r="AM89" s="55"/>
      <c r="AN89" s="55">
        <v>1</v>
      </c>
      <c r="AO89" s="55">
        <v>16384</v>
      </c>
      <c r="AP89" s="55" t="s">
        <v>416</v>
      </c>
      <c r="AQ89" s="55" t="s">
        <v>192</v>
      </c>
      <c r="AR89" s="55" t="s">
        <v>193</v>
      </c>
      <c r="AS89" s="55"/>
      <c r="AT89" s="55" t="b">
        <v>1</v>
      </c>
      <c r="AU89" s="55" t="s">
        <v>150</v>
      </c>
      <c r="AV89" s="55"/>
      <c r="AW89" s="55" t="s">
        <v>151</v>
      </c>
      <c r="AX89" s="55">
        <v>-1</v>
      </c>
      <c r="AY89" s="55">
        <v>-1</v>
      </c>
      <c r="AZ89" s="55"/>
      <c r="BA89" s="55">
        <v>213094</v>
      </c>
      <c r="BB89" s="55">
        <v>213094</v>
      </c>
      <c r="BC89" s="55">
        <v>204800</v>
      </c>
      <c r="BD89" s="55" t="s">
        <v>152</v>
      </c>
      <c r="BE89" s="55" t="s">
        <v>153</v>
      </c>
      <c r="BF89" s="55" t="s">
        <v>154</v>
      </c>
      <c r="BG89" s="55"/>
      <c r="BH89" s="55"/>
      <c r="BI89" s="55" t="b">
        <v>0</v>
      </c>
      <c r="BJ89" s="55">
        <v>0</v>
      </c>
      <c r="BK89" s="55">
        <v>10000</v>
      </c>
      <c r="BL89" s="55" t="b">
        <v>0</v>
      </c>
      <c r="BM89" s="55" t="b">
        <v>0</v>
      </c>
      <c r="BN89" s="55"/>
      <c r="BO89" s="55" t="b">
        <v>0</v>
      </c>
      <c r="BP89" s="55" t="s">
        <v>155</v>
      </c>
      <c r="BQ89" s="55">
        <v>19</v>
      </c>
      <c r="BR89" s="55" t="s">
        <v>153</v>
      </c>
      <c r="BS89" s="55" t="s">
        <v>156</v>
      </c>
      <c r="BT89" s="55"/>
      <c r="BU89" s="55" t="s">
        <v>1220</v>
      </c>
      <c r="BV89" s="55" t="s">
        <v>1221</v>
      </c>
      <c r="BW89" s="55" t="s">
        <v>1221</v>
      </c>
      <c r="BX89" s="55" t="s">
        <v>1221</v>
      </c>
      <c r="BY89" s="55"/>
      <c r="BZ89" s="55" t="s">
        <v>1222</v>
      </c>
      <c r="CA89" s="55" t="s">
        <v>1223</v>
      </c>
      <c r="CB89" s="55"/>
      <c r="CC89" s="55"/>
      <c r="CD89" s="55"/>
      <c r="CE89" s="55"/>
      <c r="CF89" s="55"/>
      <c r="CG89" s="55"/>
      <c r="CH89" s="55"/>
      <c r="CI89" s="55" t="s">
        <v>161</v>
      </c>
      <c r="CJ89" s="55" t="s">
        <v>323</v>
      </c>
      <c r="CK89" s="55" t="s">
        <v>446</v>
      </c>
      <c r="CL89" s="55" t="s">
        <v>826</v>
      </c>
      <c r="CM89" s="55" t="s">
        <v>826</v>
      </c>
      <c r="CN89" s="55" t="s">
        <v>166</v>
      </c>
      <c r="CO89" s="55"/>
      <c r="CP89" s="55" t="s">
        <v>1224</v>
      </c>
      <c r="CQ89" s="55" t="s">
        <v>1225</v>
      </c>
      <c r="CR89" s="55" t="s">
        <v>1226</v>
      </c>
      <c r="CS89" s="55" t="s">
        <v>170</v>
      </c>
      <c r="CT89" s="55" t="s">
        <v>171</v>
      </c>
      <c r="CU89" s="55" t="s">
        <v>172</v>
      </c>
      <c r="CV89" s="55" t="s">
        <v>173</v>
      </c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</row>
    <row r="90" spans="1:113">
      <c r="A90" s="55" t="s">
        <v>1216</v>
      </c>
      <c r="B90" s="55" t="s">
        <v>1227</v>
      </c>
      <c r="C90" s="55" t="s">
        <v>135</v>
      </c>
      <c r="D90" s="55" t="b">
        <v>0</v>
      </c>
      <c r="E90" s="55" t="b">
        <v>0</v>
      </c>
      <c r="F90" s="55" t="s">
        <v>136</v>
      </c>
      <c r="G90" s="55" t="s">
        <v>1228</v>
      </c>
      <c r="H90" s="55" t="s">
        <v>138</v>
      </c>
      <c r="I90" s="55" t="s">
        <v>139</v>
      </c>
      <c r="J90" s="55" t="s">
        <v>136</v>
      </c>
      <c r="K90" s="55" t="b">
        <v>0</v>
      </c>
      <c r="L90" s="56">
        <v>45864.482060185182</v>
      </c>
      <c r="O90" s="55">
        <v>0</v>
      </c>
      <c r="P90" s="56">
        <v>25568.791666666672</v>
      </c>
      <c r="Q90" s="56">
        <v>45864.482060185182</v>
      </c>
      <c r="R90" s="57">
        <v>8</v>
      </c>
      <c r="T90" s="57">
        <v>8192</v>
      </c>
      <c r="U90" s="55">
        <v>1474</v>
      </c>
      <c r="V90" s="55">
        <v>3</v>
      </c>
      <c r="W90" s="55">
        <v>2</v>
      </c>
      <c r="X90" s="58">
        <v>204800</v>
      </c>
      <c r="Z90" s="55" t="s">
        <v>832</v>
      </c>
      <c r="AA90" s="55" t="s">
        <v>142</v>
      </c>
      <c r="AC90" s="55" t="b">
        <v>1</v>
      </c>
      <c r="AD90" s="55" t="b">
        <v>1</v>
      </c>
      <c r="AE90" s="55" t="s">
        <v>1229</v>
      </c>
      <c r="AF90" s="55" t="s">
        <v>834</v>
      </c>
      <c r="AG90" s="55" t="s">
        <v>835</v>
      </c>
      <c r="AH90" s="55" t="s">
        <v>836</v>
      </c>
      <c r="AN90" s="55">
        <v>1</v>
      </c>
      <c r="AO90" s="55">
        <v>0</v>
      </c>
      <c r="AP90" s="55" t="s">
        <v>837</v>
      </c>
      <c r="AQ90" s="55" t="s">
        <v>317</v>
      </c>
      <c r="AR90" s="55" t="s">
        <v>318</v>
      </c>
      <c r="AT90" s="55" t="b">
        <v>1</v>
      </c>
      <c r="AU90" s="55" t="s">
        <v>150</v>
      </c>
      <c r="AW90" s="55" t="s">
        <v>151</v>
      </c>
      <c r="AX90" s="55">
        <v>-1</v>
      </c>
      <c r="AY90" s="55">
        <v>-1</v>
      </c>
      <c r="BA90" s="55">
        <v>213248</v>
      </c>
      <c r="BB90" s="55">
        <v>213248</v>
      </c>
      <c r="BC90" s="55">
        <v>204800</v>
      </c>
      <c r="BD90" s="55" t="s">
        <v>152</v>
      </c>
      <c r="BE90" s="55" t="s">
        <v>153</v>
      </c>
      <c r="BF90" s="55" t="s">
        <v>154</v>
      </c>
      <c r="BI90" s="55" t="b">
        <v>0</v>
      </c>
      <c r="BJ90" s="55">
        <v>0</v>
      </c>
      <c r="BK90" s="55">
        <v>10000</v>
      </c>
      <c r="BL90" s="55" t="b">
        <v>0</v>
      </c>
      <c r="BM90" s="55" t="b">
        <v>0</v>
      </c>
      <c r="BO90" s="55" t="b">
        <v>0</v>
      </c>
      <c r="BP90" s="55" t="s">
        <v>155</v>
      </c>
      <c r="BQ90" s="55">
        <v>13</v>
      </c>
      <c r="BR90" s="55" t="s">
        <v>153</v>
      </c>
      <c r="BS90" s="55" t="s">
        <v>156</v>
      </c>
      <c r="BU90" s="55" t="s">
        <v>1230</v>
      </c>
      <c r="BV90" s="55" t="s">
        <v>1231</v>
      </c>
      <c r="BW90" s="55" t="s">
        <v>1231</v>
      </c>
      <c r="BX90" s="55" t="s">
        <v>1231</v>
      </c>
      <c r="BZ90" s="55" t="s">
        <v>1232</v>
      </c>
      <c r="CA90" s="55" t="s">
        <v>1233</v>
      </c>
      <c r="CI90" s="55" t="s">
        <v>161</v>
      </c>
      <c r="CJ90" s="55" t="s">
        <v>844</v>
      </c>
      <c r="CK90" s="55" t="s">
        <v>1100</v>
      </c>
      <c r="CL90" s="55" t="s">
        <v>826</v>
      </c>
      <c r="CM90" s="55" t="s">
        <v>826</v>
      </c>
      <c r="CP90" s="55" t="s">
        <v>1234</v>
      </c>
      <c r="CQ90" s="55" t="s">
        <v>1235</v>
      </c>
      <c r="CR90" s="55" t="s">
        <v>1236</v>
      </c>
      <c r="CS90" s="55" t="s">
        <v>170</v>
      </c>
      <c r="CT90" s="55" t="s">
        <v>171</v>
      </c>
      <c r="CU90" s="55" t="s">
        <v>172</v>
      </c>
      <c r="CV90" s="55" t="s">
        <v>173</v>
      </c>
    </row>
    <row r="91" spans="1:113" s="49" customFormat="1">
      <c r="A91" s="49" t="s">
        <v>1237</v>
      </c>
      <c r="B91" s="49" t="s">
        <v>1238</v>
      </c>
      <c r="C91" s="49" t="s">
        <v>732</v>
      </c>
      <c r="D91" s="49" t="b">
        <v>0</v>
      </c>
      <c r="E91" s="49" t="b">
        <v>0</v>
      </c>
      <c r="F91" s="49" t="s">
        <v>136</v>
      </c>
      <c r="G91" s="49" t="s">
        <v>1239</v>
      </c>
      <c r="H91" s="49" t="s">
        <v>138</v>
      </c>
      <c r="I91" s="49" t="s">
        <v>474</v>
      </c>
      <c r="J91" s="49" t="s">
        <v>151</v>
      </c>
      <c r="K91" s="49" t="b">
        <v>0</v>
      </c>
      <c r="O91" s="49">
        <v>0</v>
      </c>
      <c r="P91" s="50">
        <v>25568.791666666672</v>
      </c>
      <c r="Q91" s="50">
        <v>45807.620312500003</v>
      </c>
      <c r="R91" s="51">
        <v>4</v>
      </c>
      <c r="T91" s="51">
        <v>10240</v>
      </c>
      <c r="U91" s="49">
        <v>0</v>
      </c>
      <c r="V91" s="49">
        <v>3</v>
      </c>
      <c r="W91" s="49">
        <v>3</v>
      </c>
      <c r="X91" s="52">
        <v>665600</v>
      </c>
      <c r="AA91" s="49" t="s">
        <v>142</v>
      </c>
      <c r="AC91" s="49" t="b">
        <v>1</v>
      </c>
      <c r="AD91" s="49" t="b">
        <v>1</v>
      </c>
      <c r="AF91" s="49" t="s">
        <v>930</v>
      </c>
      <c r="AG91" s="49" t="s">
        <v>654</v>
      </c>
      <c r="AH91" s="49" t="s">
        <v>315</v>
      </c>
      <c r="AN91" s="49">
        <v>1</v>
      </c>
      <c r="AO91" s="49">
        <v>4096</v>
      </c>
      <c r="AP91" s="49" t="s">
        <v>416</v>
      </c>
      <c r="AQ91" s="49" t="s">
        <v>317</v>
      </c>
      <c r="AR91" s="49" t="s">
        <v>318</v>
      </c>
      <c r="AU91" s="49" t="s">
        <v>150</v>
      </c>
      <c r="AW91" s="49" t="s">
        <v>151</v>
      </c>
      <c r="AX91" s="49">
        <v>-1</v>
      </c>
      <c r="AY91" s="49">
        <v>-1</v>
      </c>
      <c r="BA91" s="49">
        <v>676263</v>
      </c>
      <c r="BB91" s="49">
        <v>665762</v>
      </c>
      <c r="BC91" s="49">
        <v>665600</v>
      </c>
      <c r="BD91" s="49" t="s">
        <v>152</v>
      </c>
      <c r="BE91" s="49" t="s">
        <v>153</v>
      </c>
      <c r="BF91" s="49" t="s">
        <v>154</v>
      </c>
      <c r="BI91" s="49" t="b">
        <v>0</v>
      </c>
      <c r="BJ91" s="49">
        <v>0</v>
      </c>
      <c r="BK91" s="49">
        <v>10000</v>
      </c>
      <c r="BL91" s="49" t="b">
        <v>0</v>
      </c>
      <c r="BM91" s="49" t="b">
        <v>0</v>
      </c>
      <c r="BO91" s="49" t="b">
        <v>0</v>
      </c>
      <c r="BP91" s="49" t="s">
        <v>155</v>
      </c>
      <c r="BQ91" s="49">
        <v>19</v>
      </c>
      <c r="BR91" s="49" t="s">
        <v>153</v>
      </c>
      <c r="BS91" s="49" t="s">
        <v>156</v>
      </c>
      <c r="BU91" s="49" t="s">
        <v>1240</v>
      </c>
      <c r="BV91" s="49" t="s">
        <v>1241</v>
      </c>
      <c r="BW91" s="49" t="s">
        <v>1241</v>
      </c>
      <c r="BX91" s="49" t="s">
        <v>1241</v>
      </c>
      <c r="BZ91" s="49" t="s">
        <v>1242</v>
      </c>
      <c r="CA91" s="49" t="s">
        <v>1243</v>
      </c>
      <c r="CI91" s="49" t="s">
        <v>161</v>
      </c>
      <c r="CJ91" s="49" t="s">
        <v>323</v>
      </c>
      <c r="CK91" s="49" t="s">
        <v>446</v>
      </c>
      <c r="CL91" s="49" t="s">
        <v>826</v>
      </c>
      <c r="CP91" s="49" t="s">
        <v>1244</v>
      </c>
      <c r="CQ91" s="49" t="s">
        <v>1245</v>
      </c>
      <c r="CR91" s="49" t="s">
        <v>1246</v>
      </c>
      <c r="CS91" s="49" t="s">
        <v>170</v>
      </c>
      <c r="CT91" s="49" t="s">
        <v>171</v>
      </c>
      <c r="CU91" s="49" t="s">
        <v>172</v>
      </c>
      <c r="CV91" s="49" t="s">
        <v>173</v>
      </c>
    </row>
    <row r="92" spans="1:113">
      <c r="A92" s="55" t="s">
        <v>1247</v>
      </c>
      <c r="B92" s="55" t="s">
        <v>1248</v>
      </c>
      <c r="C92" s="55" t="s">
        <v>135</v>
      </c>
      <c r="D92" s="55" t="b">
        <v>0</v>
      </c>
      <c r="E92" s="55" t="b">
        <v>0</v>
      </c>
      <c r="F92" s="55" t="s">
        <v>136</v>
      </c>
      <c r="G92" s="55" t="s">
        <v>1249</v>
      </c>
      <c r="H92" s="55" t="s">
        <v>138</v>
      </c>
      <c r="I92" s="55" t="s">
        <v>139</v>
      </c>
      <c r="J92" s="55" t="s">
        <v>136</v>
      </c>
      <c r="K92" s="55" t="b">
        <v>0</v>
      </c>
      <c r="L92" s="56">
        <v>45216.651076388887</v>
      </c>
      <c r="O92" s="55">
        <v>0</v>
      </c>
      <c r="P92" s="56">
        <v>25568.791666666672</v>
      </c>
      <c r="Q92" s="56">
        <v>45217.708657407413</v>
      </c>
      <c r="R92" s="57">
        <v>8</v>
      </c>
      <c r="T92" s="57">
        <v>4096</v>
      </c>
      <c r="U92" s="55">
        <v>81</v>
      </c>
      <c r="V92" s="55">
        <v>3</v>
      </c>
      <c r="W92" s="55">
        <v>2</v>
      </c>
      <c r="X92" s="58">
        <v>153600</v>
      </c>
      <c r="Z92" s="55" t="s">
        <v>832</v>
      </c>
      <c r="AA92" s="55" t="s">
        <v>142</v>
      </c>
      <c r="AD92" s="55" t="b">
        <v>1</v>
      </c>
      <c r="AE92" s="55" t="s">
        <v>1250</v>
      </c>
      <c r="AF92" s="55" t="s">
        <v>834</v>
      </c>
      <c r="AG92" s="55" t="s">
        <v>835</v>
      </c>
      <c r="AH92" s="55" t="s">
        <v>836</v>
      </c>
      <c r="AN92" s="55">
        <v>1</v>
      </c>
      <c r="AO92" s="55">
        <v>0</v>
      </c>
      <c r="AP92" s="55" t="s">
        <v>837</v>
      </c>
      <c r="AQ92" s="55" t="s">
        <v>317</v>
      </c>
      <c r="AR92" s="55" t="s">
        <v>318</v>
      </c>
      <c r="AT92" s="55" t="b">
        <v>1</v>
      </c>
      <c r="AU92" s="55" t="s">
        <v>150</v>
      </c>
      <c r="AW92" s="55" t="s">
        <v>151</v>
      </c>
      <c r="AX92" s="55">
        <v>-1</v>
      </c>
      <c r="AY92" s="55">
        <v>-1</v>
      </c>
      <c r="BA92" s="55">
        <v>157841</v>
      </c>
      <c r="BB92" s="55">
        <v>157841</v>
      </c>
      <c r="BC92" s="55">
        <v>153600</v>
      </c>
      <c r="BD92" s="55" t="s">
        <v>152</v>
      </c>
      <c r="BE92" s="55" t="s">
        <v>153</v>
      </c>
      <c r="BF92" s="55" t="s">
        <v>154</v>
      </c>
      <c r="BI92" s="55" t="b">
        <v>0</v>
      </c>
      <c r="BJ92" s="55">
        <v>0</v>
      </c>
      <c r="BK92" s="55">
        <v>10000</v>
      </c>
      <c r="BL92" s="55" t="b">
        <v>0</v>
      </c>
      <c r="BM92" s="55" t="b">
        <v>0</v>
      </c>
      <c r="BO92" s="55" t="b">
        <v>0</v>
      </c>
      <c r="BP92" s="55" t="s">
        <v>155</v>
      </c>
      <c r="BQ92" s="55">
        <v>13</v>
      </c>
      <c r="BR92" s="55" t="s">
        <v>153</v>
      </c>
      <c r="BS92" s="55" t="s">
        <v>156</v>
      </c>
      <c r="BU92" s="55" t="s">
        <v>1251</v>
      </c>
      <c r="BV92" s="55" t="s">
        <v>1252</v>
      </c>
      <c r="BW92" s="55" t="s">
        <v>1252</v>
      </c>
      <c r="BX92" s="55" t="s">
        <v>1252</v>
      </c>
      <c r="CI92" s="55" t="s">
        <v>161</v>
      </c>
      <c r="CJ92" s="55" t="s">
        <v>844</v>
      </c>
      <c r="CK92" s="55" t="s">
        <v>881</v>
      </c>
      <c r="CL92" s="55" t="s">
        <v>1116</v>
      </c>
      <c r="CM92" s="55" t="s">
        <v>1116</v>
      </c>
      <c r="CP92" s="55" t="s">
        <v>1253</v>
      </c>
      <c r="CQ92" s="55" t="s">
        <v>1254</v>
      </c>
      <c r="CR92" s="55" t="s">
        <v>1255</v>
      </c>
      <c r="CS92" s="55" t="s">
        <v>170</v>
      </c>
      <c r="CT92" s="55" t="s">
        <v>171</v>
      </c>
      <c r="CU92" s="55" t="s">
        <v>172</v>
      </c>
      <c r="CV92" s="55" t="s">
        <v>173</v>
      </c>
    </row>
    <row r="93" spans="1:113" s="49" customFormat="1">
      <c r="A93" s="55" t="s">
        <v>1256</v>
      </c>
      <c r="B93" s="55" t="s">
        <v>1257</v>
      </c>
      <c r="C93" s="55" t="s">
        <v>135</v>
      </c>
      <c r="D93" s="55" t="b">
        <v>0</v>
      </c>
      <c r="E93" s="55" t="b">
        <v>0</v>
      </c>
      <c r="F93" s="55" t="s">
        <v>136</v>
      </c>
      <c r="G93" s="55" t="s">
        <v>1258</v>
      </c>
      <c r="H93" s="55" t="s">
        <v>138</v>
      </c>
      <c r="I93" s="55" t="s">
        <v>139</v>
      </c>
      <c r="J93" s="55" t="s">
        <v>136</v>
      </c>
      <c r="K93" s="55" t="b">
        <v>0</v>
      </c>
      <c r="L93" s="56">
        <v>45773.993263888893</v>
      </c>
      <c r="M93" s="55"/>
      <c r="N93" s="55"/>
      <c r="O93" s="55">
        <v>0</v>
      </c>
      <c r="P93" s="56">
        <v>25568.791666666672</v>
      </c>
      <c r="Q93" s="56">
        <v>45803.520462962973</v>
      </c>
      <c r="R93" s="57">
        <v>4</v>
      </c>
      <c r="S93" s="55" t="s">
        <v>140</v>
      </c>
      <c r="T93" s="57">
        <v>20480</v>
      </c>
      <c r="U93" s="55">
        <v>409</v>
      </c>
      <c r="V93" s="55">
        <v>3</v>
      </c>
      <c r="W93" s="55">
        <v>9</v>
      </c>
      <c r="X93" s="58">
        <v>10207232</v>
      </c>
      <c r="Y93" s="55"/>
      <c r="Z93" s="55" t="s">
        <v>813</v>
      </c>
      <c r="AA93" s="55" t="s">
        <v>142</v>
      </c>
      <c r="AB93" s="55"/>
      <c r="AC93" s="55"/>
      <c r="AD93" s="55" t="b">
        <v>1</v>
      </c>
      <c r="AE93" s="55" t="s">
        <v>1259</v>
      </c>
      <c r="AF93" s="55" t="s">
        <v>816</v>
      </c>
      <c r="AG93" s="55" t="s">
        <v>1108</v>
      </c>
      <c r="AH93" s="55" t="s">
        <v>817</v>
      </c>
      <c r="AI93" s="55"/>
      <c r="AJ93" s="55"/>
      <c r="AK93" s="55"/>
      <c r="AL93" s="55"/>
      <c r="AM93" s="55"/>
      <c r="AN93" s="55">
        <v>1</v>
      </c>
      <c r="AO93" s="55">
        <v>4096</v>
      </c>
      <c r="AP93" s="55" t="s">
        <v>818</v>
      </c>
      <c r="AQ93" s="55" t="s">
        <v>317</v>
      </c>
      <c r="AR93" s="55" t="s">
        <v>318</v>
      </c>
      <c r="AS93" s="55"/>
      <c r="AT93" s="55" t="b">
        <v>1</v>
      </c>
      <c r="AU93" s="55" t="s">
        <v>150</v>
      </c>
      <c r="AV93" s="55"/>
      <c r="AW93" s="55" t="s">
        <v>151</v>
      </c>
      <c r="AX93" s="55">
        <v>-1</v>
      </c>
      <c r="AY93" s="55">
        <v>-1</v>
      </c>
      <c r="AZ93" s="55"/>
      <c r="BA93" s="55">
        <v>10228041</v>
      </c>
      <c r="BB93" s="55">
        <v>9836189</v>
      </c>
      <c r="BC93" s="55">
        <v>9815380</v>
      </c>
      <c r="BD93" s="55" t="s">
        <v>152</v>
      </c>
      <c r="BE93" s="55" t="s">
        <v>153</v>
      </c>
      <c r="BF93" s="55" t="s">
        <v>154</v>
      </c>
      <c r="BG93" s="55"/>
      <c r="BH93" s="55"/>
      <c r="BI93" s="55" t="b">
        <v>0</v>
      </c>
      <c r="BJ93" s="55">
        <v>0</v>
      </c>
      <c r="BK93" s="55">
        <v>10000</v>
      </c>
      <c r="BL93" s="55" t="b">
        <v>0</v>
      </c>
      <c r="BM93" s="55" t="b">
        <v>0</v>
      </c>
      <c r="BN93" s="55"/>
      <c r="BO93" s="55" t="b">
        <v>0</v>
      </c>
      <c r="BP93" s="55" t="s">
        <v>155</v>
      </c>
      <c r="BQ93" s="55">
        <v>14</v>
      </c>
      <c r="BR93" s="55" t="s">
        <v>153</v>
      </c>
      <c r="BS93" s="55" t="s">
        <v>156</v>
      </c>
      <c r="BT93" s="55"/>
      <c r="BU93" s="55" t="s">
        <v>1260</v>
      </c>
      <c r="BV93" s="55" t="s">
        <v>1261</v>
      </c>
      <c r="BW93" s="55" t="s">
        <v>1261</v>
      </c>
      <c r="BX93" s="55" t="s">
        <v>1261</v>
      </c>
      <c r="BY93" s="55"/>
      <c r="BZ93" s="55" t="s">
        <v>1262</v>
      </c>
      <c r="CA93" s="55" t="s">
        <v>1263</v>
      </c>
      <c r="CB93" s="55"/>
      <c r="CC93" s="55"/>
      <c r="CD93" s="55"/>
      <c r="CE93" s="55"/>
      <c r="CF93" s="55"/>
      <c r="CG93" s="55"/>
      <c r="CH93" s="55"/>
      <c r="CI93" s="55" t="s">
        <v>161</v>
      </c>
      <c r="CJ93" s="55" t="s">
        <v>824</v>
      </c>
      <c r="CK93" s="55" t="s">
        <v>825</v>
      </c>
      <c r="CL93" s="55" t="s">
        <v>1115</v>
      </c>
      <c r="CM93" s="55" t="s">
        <v>1116</v>
      </c>
      <c r="CN93" s="55" t="s">
        <v>166</v>
      </c>
      <c r="CO93" s="55"/>
      <c r="CP93" s="55" t="s">
        <v>1264</v>
      </c>
      <c r="CQ93" s="55" t="s">
        <v>1265</v>
      </c>
      <c r="CR93" s="55" t="s">
        <v>1266</v>
      </c>
      <c r="CS93" s="55" t="s">
        <v>170</v>
      </c>
      <c r="CT93" s="55" t="s">
        <v>171</v>
      </c>
      <c r="CU93" s="55" t="s">
        <v>172</v>
      </c>
      <c r="CV93" s="55" t="s">
        <v>173</v>
      </c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</row>
    <row r="94" spans="1:113">
      <c r="A94" s="55" t="s">
        <v>1267</v>
      </c>
      <c r="B94" s="55" t="s">
        <v>1268</v>
      </c>
      <c r="C94" s="55" t="s">
        <v>135</v>
      </c>
      <c r="D94" s="55" t="b">
        <v>0</v>
      </c>
      <c r="E94" s="55" t="b">
        <v>0</v>
      </c>
      <c r="F94" s="55" t="s">
        <v>136</v>
      </c>
      <c r="G94" s="55" t="s">
        <v>1269</v>
      </c>
      <c r="H94" s="55" t="s">
        <v>138</v>
      </c>
      <c r="I94" s="55" t="s">
        <v>139</v>
      </c>
      <c r="J94" s="55" t="s">
        <v>136</v>
      </c>
      <c r="K94" s="55" t="b">
        <v>0</v>
      </c>
      <c r="L94" s="56">
        <v>45774.830601851849</v>
      </c>
      <c r="O94" s="55">
        <v>0</v>
      </c>
      <c r="P94" s="56">
        <v>25568.791666666672</v>
      </c>
      <c r="Q94" s="56">
        <v>44821.709409722222</v>
      </c>
      <c r="R94" s="57">
        <v>2</v>
      </c>
      <c r="T94" s="57">
        <v>16384</v>
      </c>
      <c r="U94" s="55">
        <v>1146</v>
      </c>
      <c r="V94" s="55">
        <v>4</v>
      </c>
      <c r="W94" s="55">
        <v>1</v>
      </c>
      <c r="X94" s="58">
        <v>40960</v>
      </c>
      <c r="Z94" s="55" t="s">
        <v>832</v>
      </c>
      <c r="AA94" s="55" t="s">
        <v>142</v>
      </c>
      <c r="AD94" s="55" t="b">
        <v>1</v>
      </c>
      <c r="AE94" s="55" t="s">
        <v>1270</v>
      </c>
      <c r="AF94" s="55" t="s">
        <v>835</v>
      </c>
      <c r="AG94" s="55" t="s">
        <v>834</v>
      </c>
      <c r="AH94" s="55" t="s">
        <v>836</v>
      </c>
      <c r="AI94" s="55" t="s">
        <v>835</v>
      </c>
      <c r="AN94" s="55">
        <v>1</v>
      </c>
      <c r="AO94" s="55">
        <v>0</v>
      </c>
      <c r="AP94" s="55" t="s">
        <v>837</v>
      </c>
      <c r="AQ94" s="55" t="s">
        <v>317</v>
      </c>
      <c r="AR94" s="55" t="s">
        <v>318</v>
      </c>
      <c r="AT94" s="55" t="b">
        <v>1</v>
      </c>
      <c r="AU94" s="55" t="s">
        <v>150</v>
      </c>
      <c r="AW94" s="55" t="s">
        <v>151</v>
      </c>
      <c r="AX94" s="55">
        <v>-1</v>
      </c>
      <c r="AY94" s="55">
        <v>-1</v>
      </c>
      <c r="BA94" s="55">
        <v>57485</v>
      </c>
      <c r="BB94" s="55">
        <v>57485</v>
      </c>
      <c r="BC94" s="55">
        <v>40960</v>
      </c>
      <c r="BD94" s="55" t="s">
        <v>152</v>
      </c>
      <c r="BE94" s="55" t="s">
        <v>153</v>
      </c>
      <c r="BF94" s="55" t="s">
        <v>154</v>
      </c>
      <c r="BI94" s="55" t="b">
        <v>0</v>
      </c>
      <c r="BJ94" s="55">
        <v>0</v>
      </c>
      <c r="BK94" s="55">
        <v>10000</v>
      </c>
      <c r="BL94" s="55" t="b">
        <v>0</v>
      </c>
      <c r="BM94" s="55" t="b">
        <v>0</v>
      </c>
      <c r="BO94" s="55" t="b">
        <v>0</v>
      </c>
      <c r="BP94" s="55" t="s">
        <v>155</v>
      </c>
      <c r="BQ94" s="55">
        <v>13</v>
      </c>
      <c r="BR94" s="55" t="s">
        <v>153</v>
      </c>
      <c r="BS94" s="55" t="s">
        <v>156</v>
      </c>
      <c r="BU94" s="55" t="s">
        <v>1271</v>
      </c>
      <c r="BV94" s="55" t="s">
        <v>1272</v>
      </c>
      <c r="BW94" s="55" t="s">
        <v>1272</v>
      </c>
      <c r="BX94" s="55" t="s">
        <v>1272</v>
      </c>
      <c r="BZ94" s="55" t="s">
        <v>1273</v>
      </c>
      <c r="CA94" s="55" t="s">
        <v>1274</v>
      </c>
      <c r="CI94" s="55" t="s">
        <v>161</v>
      </c>
      <c r="CJ94" s="55" t="s">
        <v>844</v>
      </c>
      <c r="CK94" s="55" t="s">
        <v>881</v>
      </c>
      <c r="CL94" s="55" t="s">
        <v>1008</v>
      </c>
      <c r="CM94" s="55" t="s">
        <v>1008</v>
      </c>
      <c r="CP94" s="55" t="s">
        <v>1275</v>
      </c>
      <c r="CQ94" s="55" t="s">
        <v>1276</v>
      </c>
      <c r="CR94" s="55" t="s">
        <v>1277</v>
      </c>
      <c r="CS94" s="55" t="s">
        <v>170</v>
      </c>
      <c r="CT94" s="55" t="s">
        <v>171</v>
      </c>
      <c r="CU94" s="55" t="s">
        <v>172</v>
      </c>
      <c r="CV94" s="55" t="s">
        <v>173</v>
      </c>
    </row>
    <row r="95" spans="1:113" s="49" customFormat="1">
      <c r="A95" s="49" t="s">
        <v>1278</v>
      </c>
      <c r="B95" s="49" t="s">
        <v>1279</v>
      </c>
      <c r="C95" s="49" t="s">
        <v>732</v>
      </c>
      <c r="D95" s="49" t="b">
        <v>0</v>
      </c>
      <c r="E95" s="49" t="b">
        <v>0</v>
      </c>
      <c r="F95" s="49" t="s">
        <v>136</v>
      </c>
      <c r="G95" s="49" t="s">
        <v>1280</v>
      </c>
      <c r="H95" s="49" t="s">
        <v>138</v>
      </c>
      <c r="I95" s="49" t="s">
        <v>474</v>
      </c>
      <c r="J95" s="49" t="s">
        <v>151</v>
      </c>
      <c r="K95" s="49" t="b">
        <v>0</v>
      </c>
      <c r="O95" s="49">
        <v>0</v>
      </c>
      <c r="P95" s="50">
        <v>25568.791666666672</v>
      </c>
      <c r="Q95" s="50">
        <v>45773.995023148149</v>
      </c>
      <c r="R95" s="51">
        <v>4</v>
      </c>
      <c r="T95" s="51">
        <v>8192</v>
      </c>
      <c r="U95" s="49">
        <v>0</v>
      </c>
      <c r="V95" s="49">
        <v>3</v>
      </c>
      <c r="W95" s="49">
        <v>2</v>
      </c>
      <c r="X95" s="52">
        <v>409600</v>
      </c>
      <c r="AA95" s="49" t="s">
        <v>142</v>
      </c>
      <c r="AC95" s="49" t="b">
        <v>1</v>
      </c>
      <c r="AD95" s="49" t="b">
        <v>1</v>
      </c>
      <c r="AF95" s="49" t="s">
        <v>1122</v>
      </c>
      <c r="AG95" s="49" t="s">
        <v>1122</v>
      </c>
      <c r="AH95" s="49" t="s">
        <v>1122</v>
      </c>
      <c r="AN95" s="49">
        <v>1</v>
      </c>
      <c r="AO95" s="49">
        <v>4096</v>
      </c>
      <c r="AP95" s="49" t="s">
        <v>1123</v>
      </c>
      <c r="AQ95" s="49" t="s">
        <v>317</v>
      </c>
      <c r="AR95" s="49" t="s">
        <v>318</v>
      </c>
      <c r="AU95" s="49" t="s">
        <v>150</v>
      </c>
      <c r="AW95" s="49" t="s">
        <v>151</v>
      </c>
      <c r="AX95" s="49">
        <v>-1</v>
      </c>
      <c r="AY95" s="49">
        <v>-1</v>
      </c>
      <c r="BA95" s="49">
        <v>418119</v>
      </c>
      <c r="BB95" s="49">
        <v>409667</v>
      </c>
      <c r="BC95" s="49">
        <v>409600</v>
      </c>
      <c r="BD95" s="49" t="s">
        <v>152</v>
      </c>
      <c r="BE95" s="49" t="s">
        <v>153</v>
      </c>
      <c r="BF95" s="49" t="s">
        <v>154</v>
      </c>
      <c r="BI95" s="49" t="b">
        <v>0</v>
      </c>
      <c r="BJ95" s="49">
        <v>0</v>
      </c>
      <c r="BK95" s="49">
        <v>10000</v>
      </c>
      <c r="BL95" s="49" t="b">
        <v>0</v>
      </c>
      <c r="BM95" s="49" t="b">
        <v>0</v>
      </c>
      <c r="BO95" s="49" t="b">
        <v>0</v>
      </c>
      <c r="BP95" s="49" t="s">
        <v>155</v>
      </c>
      <c r="BQ95" s="49">
        <v>19</v>
      </c>
      <c r="BR95" s="49" t="s">
        <v>153</v>
      </c>
      <c r="BS95" s="49" t="s">
        <v>156</v>
      </c>
      <c r="BU95" s="49" t="s">
        <v>1281</v>
      </c>
      <c r="BV95" s="49" t="s">
        <v>1282</v>
      </c>
      <c r="BW95" s="49" t="s">
        <v>1282</v>
      </c>
      <c r="BX95" s="49" t="s">
        <v>1282</v>
      </c>
      <c r="BZ95" s="49" t="s">
        <v>1283</v>
      </c>
      <c r="CA95" s="49" t="s">
        <v>1284</v>
      </c>
      <c r="CI95" s="49" t="s">
        <v>161</v>
      </c>
      <c r="CJ95" s="49" t="s">
        <v>323</v>
      </c>
      <c r="CK95" s="49" t="s">
        <v>395</v>
      </c>
      <c r="CL95" s="49" t="s">
        <v>897</v>
      </c>
      <c r="CM95" s="49" t="s">
        <v>897</v>
      </c>
      <c r="CP95" s="49" t="s">
        <v>1285</v>
      </c>
      <c r="CQ95" s="49" t="s">
        <v>1286</v>
      </c>
      <c r="CR95" s="49" t="s">
        <v>1287</v>
      </c>
      <c r="CS95" s="49" t="s">
        <v>170</v>
      </c>
      <c r="CT95" s="49" t="s">
        <v>171</v>
      </c>
      <c r="CU95" s="49" t="s">
        <v>172</v>
      </c>
      <c r="CV95" s="49" t="s">
        <v>173</v>
      </c>
    </row>
    <row r="96" spans="1:113">
      <c r="A96" s="55" t="s">
        <v>1288</v>
      </c>
      <c r="B96" s="55" t="s">
        <v>1289</v>
      </c>
      <c r="C96" s="55" t="s">
        <v>135</v>
      </c>
      <c r="D96" s="55" t="b">
        <v>0</v>
      </c>
      <c r="E96" s="55" t="b">
        <v>0</v>
      </c>
      <c r="F96" s="55" t="s">
        <v>136</v>
      </c>
      <c r="G96" s="55" t="s">
        <v>1290</v>
      </c>
      <c r="H96" s="55" t="s">
        <v>138</v>
      </c>
      <c r="I96" s="55" t="s">
        <v>139</v>
      </c>
      <c r="J96" s="55" t="s">
        <v>136</v>
      </c>
      <c r="K96" s="55" t="b">
        <v>0</v>
      </c>
      <c r="O96" s="55">
        <v>0</v>
      </c>
      <c r="P96" s="56">
        <v>25568.791666666672</v>
      </c>
      <c r="Q96" s="56">
        <v>45882.644409722219</v>
      </c>
      <c r="R96" s="57">
        <v>4</v>
      </c>
      <c r="T96" s="57">
        <v>8192</v>
      </c>
      <c r="U96" s="55">
        <v>327</v>
      </c>
      <c r="V96" s="55">
        <v>3</v>
      </c>
      <c r="W96" s="55">
        <v>1</v>
      </c>
      <c r="X96" s="58">
        <v>61440</v>
      </c>
      <c r="Z96" s="55" t="s">
        <v>832</v>
      </c>
      <c r="AA96" s="55" t="s">
        <v>142</v>
      </c>
      <c r="AC96" s="55" t="b">
        <v>1</v>
      </c>
      <c r="AD96" s="55" t="b">
        <v>1</v>
      </c>
      <c r="AE96" s="55" t="s">
        <v>1291</v>
      </c>
      <c r="AF96" s="55" t="s">
        <v>835</v>
      </c>
      <c r="AG96" s="55" t="s">
        <v>834</v>
      </c>
      <c r="AH96" s="55" t="s">
        <v>836</v>
      </c>
      <c r="AN96" s="55">
        <v>1</v>
      </c>
      <c r="AO96" s="55">
        <v>0</v>
      </c>
      <c r="AP96" s="55" t="s">
        <v>837</v>
      </c>
      <c r="AQ96" s="55" t="s">
        <v>317</v>
      </c>
      <c r="AR96" s="55" t="s">
        <v>318</v>
      </c>
      <c r="AT96" s="55" t="b">
        <v>1</v>
      </c>
      <c r="AU96" s="55" t="s">
        <v>150</v>
      </c>
      <c r="AW96" s="55" t="s">
        <v>151</v>
      </c>
      <c r="AX96" s="55">
        <v>-1</v>
      </c>
      <c r="AY96" s="55">
        <v>-1</v>
      </c>
      <c r="BA96" s="55">
        <v>69804</v>
      </c>
      <c r="BB96" s="55">
        <v>69804</v>
      </c>
      <c r="BC96" s="55">
        <v>61440</v>
      </c>
      <c r="BD96" s="55" t="s">
        <v>152</v>
      </c>
      <c r="BE96" s="55" t="s">
        <v>153</v>
      </c>
      <c r="BF96" s="55" t="s">
        <v>154</v>
      </c>
      <c r="BI96" s="55" t="b">
        <v>0</v>
      </c>
      <c r="BJ96" s="55">
        <v>0</v>
      </c>
      <c r="BK96" s="55">
        <v>10000</v>
      </c>
      <c r="BL96" s="55" t="b">
        <v>0</v>
      </c>
      <c r="BM96" s="55" t="b">
        <v>0</v>
      </c>
      <c r="BO96" s="55" t="b">
        <v>0</v>
      </c>
      <c r="BP96" s="55" t="s">
        <v>155</v>
      </c>
      <c r="BQ96" s="55">
        <v>13</v>
      </c>
      <c r="BR96" s="55" t="s">
        <v>153</v>
      </c>
      <c r="BS96" s="55" t="s">
        <v>156</v>
      </c>
      <c r="BU96" s="55" t="s">
        <v>1292</v>
      </c>
      <c r="BV96" s="55" t="s">
        <v>1293</v>
      </c>
      <c r="BW96" s="55" t="s">
        <v>1293</v>
      </c>
      <c r="BX96" s="55" t="s">
        <v>1293</v>
      </c>
      <c r="BZ96" s="55" t="s">
        <v>1294</v>
      </c>
      <c r="CA96" s="55" t="s">
        <v>1295</v>
      </c>
      <c r="CI96" s="55" t="s">
        <v>161</v>
      </c>
      <c r="CJ96" s="55" t="s">
        <v>844</v>
      </c>
      <c r="CK96" s="55" t="s">
        <v>896</v>
      </c>
      <c r="CL96" s="55" t="s">
        <v>882</v>
      </c>
      <c r="CM96" s="55" t="s">
        <v>882</v>
      </c>
      <c r="CP96" s="55" t="s">
        <v>1296</v>
      </c>
      <c r="CQ96" s="55" t="s">
        <v>1297</v>
      </c>
      <c r="CR96" s="55" t="s">
        <v>1298</v>
      </c>
      <c r="CS96" s="55" t="s">
        <v>170</v>
      </c>
      <c r="CT96" s="55" t="s">
        <v>171</v>
      </c>
      <c r="CU96" s="55" t="s">
        <v>172</v>
      </c>
      <c r="CV96" s="55" t="s">
        <v>173</v>
      </c>
    </row>
    <row r="97" spans="1:100">
      <c r="A97" s="55" t="s">
        <v>1299</v>
      </c>
      <c r="B97" s="55" t="s">
        <v>1300</v>
      </c>
      <c r="C97" s="55" t="s">
        <v>135</v>
      </c>
      <c r="D97" s="55" t="b">
        <v>0</v>
      </c>
      <c r="E97" s="55" t="b">
        <v>0</v>
      </c>
      <c r="F97" s="55" t="s">
        <v>136</v>
      </c>
      <c r="G97" s="55" t="s">
        <v>1301</v>
      </c>
      <c r="H97" s="55" t="s">
        <v>138</v>
      </c>
      <c r="I97" s="55" t="s">
        <v>139</v>
      </c>
      <c r="J97" s="55" t="s">
        <v>136</v>
      </c>
      <c r="K97" s="55" t="b">
        <v>0</v>
      </c>
      <c r="L97" s="56">
        <v>45875.715578703697</v>
      </c>
      <c r="O97" s="55">
        <v>0</v>
      </c>
      <c r="P97" s="56">
        <v>25568.791666666672</v>
      </c>
      <c r="Q97" s="56">
        <v>45876.127835648149</v>
      </c>
      <c r="R97" s="57">
        <v>8</v>
      </c>
      <c r="T97" s="57">
        <v>32768</v>
      </c>
      <c r="U97" s="55">
        <v>12779</v>
      </c>
      <c r="V97" s="55">
        <v>3</v>
      </c>
      <c r="W97" s="55">
        <v>26</v>
      </c>
      <c r="X97" s="58">
        <v>75550720</v>
      </c>
      <c r="Z97" s="55" t="s">
        <v>832</v>
      </c>
      <c r="AA97" s="55" t="s">
        <v>142</v>
      </c>
      <c r="AD97" s="55" t="b">
        <v>1</v>
      </c>
      <c r="AE97" s="55" t="s">
        <v>1302</v>
      </c>
      <c r="AF97" s="55" t="s">
        <v>835</v>
      </c>
      <c r="AG97" s="55" t="s">
        <v>834</v>
      </c>
      <c r="AH97" s="55" t="s">
        <v>836</v>
      </c>
      <c r="AN97" s="55">
        <v>1</v>
      </c>
      <c r="AO97" s="55">
        <v>0</v>
      </c>
      <c r="AP97" s="55" t="s">
        <v>837</v>
      </c>
      <c r="AQ97" s="55" t="s">
        <v>317</v>
      </c>
      <c r="AR97" s="55" t="s">
        <v>318</v>
      </c>
      <c r="AT97" s="55" t="b">
        <v>1</v>
      </c>
      <c r="AU97" s="55" t="s">
        <v>150</v>
      </c>
      <c r="AW97" s="55" t="s">
        <v>151</v>
      </c>
      <c r="AX97" s="55">
        <v>-1</v>
      </c>
      <c r="AY97" s="55">
        <v>-1</v>
      </c>
      <c r="BA97" s="55">
        <v>75584386</v>
      </c>
      <c r="BB97" s="55">
        <v>75584386</v>
      </c>
      <c r="BC97" s="55">
        <v>75550720</v>
      </c>
      <c r="BD97" s="55" t="s">
        <v>152</v>
      </c>
      <c r="BE97" s="55" t="s">
        <v>153</v>
      </c>
      <c r="BF97" s="55" t="s">
        <v>154</v>
      </c>
      <c r="BI97" s="55" t="b">
        <v>0</v>
      </c>
      <c r="BJ97" s="55">
        <v>0</v>
      </c>
      <c r="BK97" s="55">
        <v>10000</v>
      </c>
      <c r="BL97" s="55" t="b">
        <v>0</v>
      </c>
      <c r="BM97" s="55" t="b">
        <v>0</v>
      </c>
      <c r="BO97" s="55" t="b">
        <v>0</v>
      </c>
      <c r="BP97" s="55" t="s">
        <v>155</v>
      </c>
      <c r="BQ97" s="55">
        <v>13</v>
      </c>
      <c r="BR97" s="55" t="s">
        <v>153</v>
      </c>
      <c r="BS97" s="55" t="s">
        <v>156</v>
      </c>
      <c r="BU97" s="55" t="s">
        <v>1303</v>
      </c>
      <c r="BV97" s="55" t="s">
        <v>1304</v>
      </c>
      <c r="BW97" s="55" t="s">
        <v>1304</v>
      </c>
      <c r="BX97" s="55" t="s">
        <v>1304</v>
      </c>
      <c r="BY97" s="55" t="s">
        <v>1305</v>
      </c>
      <c r="BZ97" s="55" t="s">
        <v>1306</v>
      </c>
      <c r="CA97" s="55" t="s">
        <v>1307</v>
      </c>
      <c r="CI97" s="55" t="s">
        <v>161</v>
      </c>
      <c r="CJ97" s="55" t="s">
        <v>844</v>
      </c>
      <c r="CK97" s="55" t="s">
        <v>845</v>
      </c>
      <c r="CL97" s="55" t="s">
        <v>971</v>
      </c>
      <c r="CM97" s="55" t="s">
        <v>972</v>
      </c>
      <c r="CP97" s="55" t="s">
        <v>1308</v>
      </c>
      <c r="CQ97" s="55" t="s">
        <v>1309</v>
      </c>
      <c r="CR97" s="55" t="s">
        <v>1310</v>
      </c>
      <c r="CS97" s="55" t="s">
        <v>170</v>
      </c>
      <c r="CT97" s="55" t="s">
        <v>171</v>
      </c>
      <c r="CU97" s="55" t="s">
        <v>172</v>
      </c>
      <c r="CV97" s="55" t="s">
        <v>173</v>
      </c>
    </row>
    <row r="98" spans="1:100">
      <c r="A98" s="55" t="s">
        <v>1311</v>
      </c>
      <c r="B98" s="55" t="s">
        <v>1312</v>
      </c>
      <c r="C98" s="55" t="s">
        <v>135</v>
      </c>
      <c r="D98" s="55" t="b">
        <v>0</v>
      </c>
      <c r="E98" s="55" t="b">
        <v>0</v>
      </c>
      <c r="F98" s="55" t="s">
        <v>136</v>
      </c>
      <c r="G98" s="55" t="s">
        <v>1313</v>
      </c>
      <c r="H98" s="55" t="s">
        <v>138</v>
      </c>
      <c r="I98" s="55" t="s">
        <v>139</v>
      </c>
      <c r="J98" s="55" t="s">
        <v>136</v>
      </c>
      <c r="K98" s="55" t="b">
        <v>0</v>
      </c>
      <c r="L98" s="56">
        <v>45774.848460648151</v>
      </c>
      <c r="O98" s="55">
        <v>0</v>
      </c>
      <c r="P98" s="56">
        <v>25568.791666666672</v>
      </c>
      <c r="Q98" s="56">
        <v>45898.562858796293</v>
      </c>
      <c r="R98" s="57">
        <v>2</v>
      </c>
      <c r="S98" s="55" t="s">
        <v>140</v>
      </c>
      <c r="T98" s="57">
        <v>16384</v>
      </c>
      <c r="U98" s="55">
        <v>1310</v>
      </c>
      <c r="V98" s="55">
        <v>3</v>
      </c>
      <c r="W98" s="55">
        <v>4</v>
      </c>
      <c r="X98" s="58">
        <v>225280</v>
      </c>
      <c r="Z98" s="55" t="s">
        <v>813</v>
      </c>
      <c r="AA98" s="55" t="s">
        <v>142</v>
      </c>
      <c r="AC98" s="55" t="b">
        <v>1</v>
      </c>
      <c r="AD98" s="55" t="b">
        <v>1</v>
      </c>
      <c r="AE98" s="55" t="s">
        <v>1314</v>
      </c>
      <c r="AF98" s="55" t="s">
        <v>1108</v>
      </c>
      <c r="AG98" s="55" t="s">
        <v>1315</v>
      </c>
      <c r="AH98" s="55" t="s">
        <v>817</v>
      </c>
      <c r="AN98" s="55">
        <v>1</v>
      </c>
      <c r="AO98" s="55">
        <v>16384</v>
      </c>
      <c r="AP98" s="55" t="s">
        <v>818</v>
      </c>
      <c r="AQ98" s="55" t="s">
        <v>317</v>
      </c>
      <c r="AR98" s="55" t="s">
        <v>318</v>
      </c>
      <c r="AT98" s="55" t="b">
        <v>1</v>
      </c>
      <c r="AU98" s="55" t="s">
        <v>150</v>
      </c>
      <c r="AW98" s="55" t="s">
        <v>151</v>
      </c>
      <c r="AX98" s="55">
        <v>-1</v>
      </c>
      <c r="AY98" s="55">
        <v>-1</v>
      </c>
      <c r="BA98" s="55">
        <v>241773</v>
      </c>
      <c r="BB98" s="55">
        <v>241773</v>
      </c>
      <c r="BC98" s="55">
        <v>225280</v>
      </c>
      <c r="BD98" s="55" t="s">
        <v>152</v>
      </c>
      <c r="BE98" s="55" t="s">
        <v>153</v>
      </c>
      <c r="BF98" s="55" t="s">
        <v>154</v>
      </c>
      <c r="BI98" s="55" t="b">
        <v>0</v>
      </c>
      <c r="BJ98" s="55">
        <v>0</v>
      </c>
      <c r="BK98" s="55">
        <v>10000</v>
      </c>
      <c r="BL98" s="55" t="b">
        <v>0</v>
      </c>
      <c r="BM98" s="55" t="b">
        <v>0</v>
      </c>
      <c r="BO98" s="55" t="b">
        <v>0</v>
      </c>
      <c r="BP98" s="55" t="s">
        <v>155</v>
      </c>
      <c r="BQ98" s="55">
        <v>14</v>
      </c>
      <c r="BR98" s="55" t="s">
        <v>153</v>
      </c>
      <c r="BS98" s="55" t="s">
        <v>156</v>
      </c>
      <c r="BU98" s="55" t="s">
        <v>1316</v>
      </c>
      <c r="BV98" s="55" t="s">
        <v>1317</v>
      </c>
      <c r="BW98" s="55" t="s">
        <v>1317</v>
      </c>
      <c r="BX98" s="55" t="s">
        <v>1317</v>
      </c>
      <c r="BZ98" s="55" t="s">
        <v>1318</v>
      </c>
      <c r="CA98" s="55" t="s">
        <v>1319</v>
      </c>
      <c r="CI98" s="55" t="s">
        <v>161</v>
      </c>
      <c r="CJ98" s="55" t="s">
        <v>824</v>
      </c>
      <c r="CK98" s="55" t="s">
        <v>859</v>
      </c>
      <c r="CL98" s="55" t="s">
        <v>826</v>
      </c>
      <c r="CM98" s="55" t="s">
        <v>826</v>
      </c>
      <c r="CN98" s="55" t="s">
        <v>166</v>
      </c>
      <c r="CP98" s="55" t="s">
        <v>1320</v>
      </c>
      <c r="CQ98" s="55" t="s">
        <v>1321</v>
      </c>
      <c r="CR98" s="55" t="s">
        <v>1322</v>
      </c>
      <c r="CS98" s="55" t="s">
        <v>170</v>
      </c>
      <c r="CT98" s="55" t="s">
        <v>171</v>
      </c>
      <c r="CU98" s="55" t="s">
        <v>172</v>
      </c>
      <c r="CV98" s="55" t="s">
        <v>173</v>
      </c>
    </row>
    <row r="99" spans="1:100">
      <c r="A99" s="55" t="s">
        <v>1323</v>
      </c>
      <c r="B99" s="55" t="s">
        <v>1324</v>
      </c>
      <c r="C99" s="55" t="s">
        <v>135</v>
      </c>
      <c r="D99" s="55" t="b">
        <v>0</v>
      </c>
      <c r="E99" s="55" t="b">
        <v>0</v>
      </c>
      <c r="F99" s="55" t="s">
        <v>136</v>
      </c>
      <c r="G99" s="55" t="s">
        <v>1325</v>
      </c>
      <c r="H99" s="55" t="s">
        <v>138</v>
      </c>
      <c r="I99" s="55" t="s">
        <v>139</v>
      </c>
      <c r="J99" s="55" t="s">
        <v>136</v>
      </c>
      <c r="K99" s="55" t="b">
        <v>0</v>
      </c>
      <c r="L99" s="56">
        <v>45774.80201388889</v>
      </c>
      <c r="O99" s="55">
        <v>0</v>
      </c>
      <c r="P99" s="56">
        <v>43980.708275462966</v>
      </c>
      <c r="Q99" s="56">
        <v>45901.508460648147</v>
      </c>
      <c r="R99" s="57">
        <v>2</v>
      </c>
      <c r="S99" s="55" t="s">
        <v>140</v>
      </c>
      <c r="T99" s="57">
        <v>12288</v>
      </c>
      <c r="U99" s="55">
        <v>614</v>
      </c>
      <c r="V99" s="55">
        <v>3</v>
      </c>
      <c r="W99" s="55">
        <v>3</v>
      </c>
      <c r="X99" s="58">
        <v>153600</v>
      </c>
      <c r="Z99" s="55" t="s">
        <v>1326</v>
      </c>
      <c r="AA99" s="55" t="s">
        <v>142</v>
      </c>
      <c r="AC99" s="55" t="b">
        <v>1</v>
      </c>
      <c r="AD99" s="55" t="b">
        <v>1</v>
      </c>
      <c r="AE99" s="55" t="s">
        <v>1327</v>
      </c>
      <c r="AF99" s="55" t="s">
        <v>1328</v>
      </c>
      <c r="AG99" s="55" t="s">
        <v>1329</v>
      </c>
      <c r="AH99" s="55" t="s">
        <v>1330</v>
      </c>
      <c r="AN99" s="55">
        <v>1</v>
      </c>
      <c r="AO99" s="55">
        <v>16384</v>
      </c>
      <c r="AP99" s="55" t="s">
        <v>1331</v>
      </c>
      <c r="AQ99" s="55" t="s">
        <v>1332</v>
      </c>
      <c r="AR99" s="55" t="s">
        <v>1333</v>
      </c>
      <c r="AT99" s="55" t="b">
        <v>1</v>
      </c>
      <c r="AU99" s="55" t="s">
        <v>150</v>
      </c>
      <c r="AW99" s="55" t="s">
        <v>151</v>
      </c>
      <c r="AX99" s="55">
        <v>-1</v>
      </c>
      <c r="AY99" s="55">
        <v>-1</v>
      </c>
      <c r="BA99" s="55">
        <v>166009</v>
      </c>
      <c r="BB99" s="55">
        <v>166009</v>
      </c>
      <c r="BC99" s="55">
        <v>153600</v>
      </c>
      <c r="BD99" s="55" t="s">
        <v>152</v>
      </c>
      <c r="BE99" s="55" t="s">
        <v>153</v>
      </c>
      <c r="BF99" s="55" t="s">
        <v>154</v>
      </c>
      <c r="BI99" s="55" t="b">
        <v>0</v>
      </c>
      <c r="BJ99" s="55">
        <v>0</v>
      </c>
      <c r="BK99" s="55">
        <v>10000</v>
      </c>
      <c r="BL99" s="55" t="b">
        <v>0</v>
      </c>
      <c r="BM99" s="55" t="b">
        <v>0</v>
      </c>
      <c r="BO99" s="55" t="b">
        <v>0</v>
      </c>
      <c r="BP99" s="55" t="s">
        <v>155</v>
      </c>
      <c r="BQ99" s="55">
        <v>15</v>
      </c>
      <c r="BR99" s="55" t="s">
        <v>153</v>
      </c>
      <c r="BS99" s="55" t="s">
        <v>156</v>
      </c>
      <c r="BU99" s="55" t="s">
        <v>1334</v>
      </c>
      <c r="BV99" s="55" t="s">
        <v>1335</v>
      </c>
      <c r="BW99" s="55" t="s">
        <v>1335</v>
      </c>
      <c r="BX99" s="55" t="s">
        <v>1335</v>
      </c>
      <c r="BY99" s="55" t="s">
        <v>1336</v>
      </c>
      <c r="BZ99" s="55" t="s">
        <v>1337</v>
      </c>
      <c r="CA99" s="55" t="s">
        <v>1338</v>
      </c>
      <c r="CB99" s="55" t="s">
        <v>1339</v>
      </c>
      <c r="CI99" s="55" t="s">
        <v>161</v>
      </c>
      <c r="CJ99" s="55" t="s">
        <v>1340</v>
      </c>
      <c r="CK99" s="55" t="s">
        <v>1341</v>
      </c>
      <c r="CL99" s="55" t="s">
        <v>1042</v>
      </c>
      <c r="CM99" s="55" t="s">
        <v>213</v>
      </c>
      <c r="CN99" s="55" t="s">
        <v>166</v>
      </c>
      <c r="CP99" s="55" t="s">
        <v>1339</v>
      </c>
      <c r="CQ99" s="55" t="s">
        <v>1342</v>
      </c>
      <c r="CR99" s="55" t="s">
        <v>1343</v>
      </c>
      <c r="CS99" s="55" t="s">
        <v>170</v>
      </c>
      <c r="CT99" s="55" t="s">
        <v>171</v>
      </c>
      <c r="CU99" s="55" t="s">
        <v>172</v>
      </c>
      <c r="CV99" s="55" t="s">
        <v>173</v>
      </c>
    </row>
    <row r="100" spans="1:100">
      <c r="A100" s="55" t="s">
        <v>1344</v>
      </c>
      <c r="B100" s="55" t="s">
        <v>1345</v>
      </c>
      <c r="C100" s="55" t="s">
        <v>135</v>
      </c>
      <c r="D100" s="55" t="b">
        <v>0</v>
      </c>
      <c r="E100" s="55" t="b">
        <v>0</v>
      </c>
      <c r="F100" s="55" t="s">
        <v>136</v>
      </c>
      <c r="G100" s="55" t="s">
        <v>1346</v>
      </c>
      <c r="H100" s="55" t="s">
        <v>138</v>
      </c>
      <c r="I100" s="55" t="s">
        <v>139</v>
      </c>
      <c r="J100" s="55" t="s">
        <v>136</v>
      </c>
      <c r="K100" s="55" t="b">
        <v>0</v>
      </c>
      <c r="L100" s="56">
        <v>45549.663935185177</v>
      </c>
      <c r="O100" s="55">
        <v>0</v>
      </c>
      <c r="P100" s="56">
        <v>25568.791666666672</v>
      </c>
      <c r="Q100" s="56">
        <v>45882.644583333327</v>
      </c>
      <c r="R100" s="57">
        <v>2</v>
      </c>
      <c r="S100" s="55" t="s">
        <v>140</v>
      </c>
      <c r="T100" s="57">
        <v>16384</v>
      </c>
      <c r="U100" s="55">
        <v>655</v>
      </c>
      <c r="V100" s="55">
        <v>3</v>
      </c>
      <c r="W100" s="55">
        <v>3</v>
      </c>
      <c r="X100" s="58">
        <v>194560</v>
      </c>
      <c r="Z100" s="55" t="s">
        <v>1326</v>
      </c>
      <c r="AA100" s="55" t="s">
        <v>142</v>
      </c>
      <c r="AC100" s="55" t="b">
        <v>1</v>
      </c>
      <c r="AD100" s="55" t="b">
        <v>1</v>
      </c>
      <c r="AE100" s="55" t="s">
        <v>1347</v>
      </c>
      <c r="AF100" s="55" t="s">
        <v>1328</v>
      </c>
      <c r="AG100" s="55" t="s">
        <v>1330</v>
      </c>
      <c r="AH100" s="55" t="s">
        <v>1329</v>
      </c>
      <c r="AN100" s="55">
        <v>1</v>
      </c>
      <c r="AO100" s="55">
        <v>16384</v>
      </c>
      <c r="AP100" s="55" t="s">
        <v>1331</v>
      </c>
      <c r="AQ100" s="55" t="s">
        <v>317</v>
      </c>
      <c r="AR100" s="55" t="s">
        <v>318</v>
      </c>
      <c r="AT100" s="55" t="b">
        <v>1</v>
      </c>
      <c r="AU100" s="55" t="s">
        <v>150</v>
      </c>
      <c r="AW100" s="55" t="s">
        <v>151</v>
      </c>
      <c r="AX100" s="55">
        <v>-1</v>
      </c>
      <c r="AY100" s="55">
        <v>-1</v>
      </c>
      <c r="BA100" s="55">
        <v>211124</v>
      </c>
      <c r="BB100" s="55">
        <v>211124</v>
      </c>
      <c r="BC100" s="55">
        <v>194560</v>
      </c>
      <c r="BD100" s="55" t="s">
        <v>152</v>
      </c>
      <c r="BE100" s="55" t="s">
        <v>153</v>
      </c>
      <c r="BF100" s="55" t="s">
        <v>154</v>
      </c>
      <c r="BI100" s="55" t="b">
        <v>0</v>
      </c>
      <c r="BJ100" s="55">
        <v>0</v>
      </c>
      <c r="BK100" s="55">
        <v>10000</v>
      </c>
      <c r="BL100" s="55" t="b">
        <v>0</v>
      </c>
      <c r="BM100" s="55" t="b">
        <v>0</v>
      </c>
      <c r="BO100" s="55" t="b">
        <v>0</v>
      </c>
      <c r="BP100" s="55" t="s">
        <v>155</v>
      </c>
      <c r="BQ100" s="55">
        <v>15</v>
      </c>
      <c r="BR100" s="55" t="s">
        <v>153</v>
      </c>
      <c r="BS100" s="55" t="s">
        <v>156</v>
      </c>
      <c r="BU100" s="55" t="s">
        <v>1348</v>
      </c>
      <c r="BV100" s="55" t="s">
        <v>1349</v>
      </c>
      <c r="BW100" s="55" t="s">
        <v>1349</v>
      </c>
      <c r="BX100" s="55" t="s">
        <v>1349</v>
      </c>
      <c r="BZ100" s="55" t="s">
        <v>1350</v>
      </c>
      <c r="CA100" s="55" t="s">
        <v>1351</v>
      </c>
      <c r="CI100" s="55" t="s">
        <v>161</v>
      </c>
      <c r="CJ100" s="55" t="s">
        <v>1340</v>
      </c>
      <c r="CK100" s="55" t="s">
        <v>1341</v>
      </c>
      <c r="CL100" s="55" t="s">
        <v>826</v>
      </c>
      <c r="CM100" s="55" t="s">
        <v>826</v>
      </c>
      <c r="CN100" s="55" t="s">
        <v>166</v>
      </c>
      <c r="CP100" s="55" t="s">
        <v>1352</v>
      </c>
      <c r="CQ100" s="55" t="s">
        <v>1353</v>
      </c>
      <c r="CR100" s="55" t="s">
        <v>1354</v>
      </c>
      <c r="CS100" s="55" t="s">
        <v>170</v>
      </c>
      <c r="CT100" s="55" t="s">
        <v>171</v>
      </c>
      <c r="CU100" s="55" t="s">
        <v>172</v>
      </c>
      <c r="CV100" s="55" t="s">
        <v>173</v>
      </c>
    </row>
    <row r="101" spans="1:100">
      <c r="A101" s="55" t="s">
        <v>1355</v>
      </c>
      <c r="B101" s="55" t="s">
        <v>1356</v>
      </c>
      <c r="C101" s="55" t="s">
        <v>135</v>
      </c>
      <c r="D101" s="55" t="b">
        <v>0</v>
      </c>
      <c r="E101" s="55" t="b">
        <v>0</v>
      </c>
      <c r="F101" s="55" t="s">
        <v>136</v>
      </c>
      <c r="G101" s="55" t="s">
        <v>1357</v>
      </c>
      <c r="H101" s="55" t="s">
        <v>138</v>
      </c>
      <c r="I101" s="55" t="s">
        <v>139</v>
      </c>
      <c r="J101" s="55" t="s">
        <v>151</v>
      </c>
      <c r="K101" s="55" t="b">
        <v>0</v>
      </c>
      <c r="L101" s="56">
        <v>45789.464918981481</v>
      </c>
      <c r="O101" s="55">
        <v>0</v>
      </c>
      <c r="P101" s="56">
        <v>25568.791666666672</v>
      </c>
      <c r="Q101" s="56">
        <v>45889.101666666669</v>
      </c>
      <c r="R101" s="57">
        <v>2</v>
      </c>
      <c r="S101" s="55" t="s">
        <v>140</v>
      </c>
      <c r="T101" s="57">
        <v>6144</v>
      </c>
      <c r="U101" s="55">
        <v>245</v>
      </c>
      <c r="V101" s="55">
        <v>3</v>
      </c>
      <c r="W101" s="55">
        <v>2</v>
      </c>
      <c r="X101" s="58">
        <v>135296</v>
      </c>
      <c r="Y101" s="55" t="b">
        <v>0</v>
      </c>
      <c r="Z101" s="55" t="s">
        <v>1358</v>
      </c>
      <c r="AA101" s="55" t="s">
        <v>142</v>
      </c>
      <c r="AE101" s="55" t="s">
        <v>1359</v>
      </c>
      <c r="AF101" s="55" t="s">
        <v>1360</v>
      </c>
      <c r="AG101" s="55" t="s">
        <v>1361</v>
      </c>
      <c r="AH101" s="55" t="s">
        <v>1362</v>
      </c>
      <c r="AN101" s="55">
        <v>1</v>
      </c>
      <c r="AO101" s="55">
        <v>16384</v>
      </c>
      <c r="AP101" s="55" t="s">
        <v>1363</v>
      </c>
      <c r="AQ101" s="55" t="s">
        <v>1364</v>
      </c>
      <c r="AR101" s="55" t="s">
        <v>1365</v>
      </c>
      <c r="AT101" s="55" t="b">
        <v>1</v>
      </c>
      <c r="AU101" s="55" t="s">
        <v>150</v>
      </c>
      <c r="AW101" s="55" t="s">
        <v>151</v>
      </c>
      <c r="AX101" s="55">
        <v>-1</v>
      </c>
      <c r="AY101" s="55">
        <v>-1</v>
      </c>
      <c r="BA101" s="55">
        <v>141523</v>
      </c>
      <c r="BB101" s="55">
        <v>141523</v>
      </c>
      <c r="BC101" s="55">
        <v>135296</v>
      </c>
      <c r="BD101" s="55" t="s">
        <v>152</v>
      </c>
      <c r="BE101" s="55" t="s">
        <v>153</v>
      </c>
      <c r="BF101" s="55" t="s">
        <v>154</v>
      </c>
      <c r="BI101" s="55" t="b">
        <v>0</v>
      </c>
      <c r="BJ101" s="55">
        <v>0</v>
      </c>
      <c r="BK101" s="55">
        <v>10000</v>
      </c>
      <c r="BL101" s="55" t="b">
        <v>0</v>
      </c>
      <c r="BM101" s="55" t="b">
        <v>0</v>
      </c>
      <c r="BN101" s="55" t="b">
        <v>0</v>
      </c>
      <c r="BO101" s="55" t="b">
        <v>0</v>
      </c>
      <c r="BP101" s="55" t="s">
        <v>155</v>
      </c>
      <c r="BQ101" s="55">
        <v>19</v>
      </c>
      <c r="BR101" s="55" t="s">
        <v>153</v>
      </c>
      <c r="BS101" s="55" t="s">
        <v>156</v>
      </c>
      <c r="BU101" s="55" t="s">
        <v>1366</v>
      </c>
      <c r="BV101" s="55" t="s">
        <v>1367</v>
      </c>
      <c r="BW101" s="55" t="s">
        <v>1367</v>
      </c>
      <c r="BX101" s="55" t="s">
        <v>1367</v>
      </c>
      <c r="BY101" s="55" t="s">
        <v>1368</v>
      </c>
      <c r="CI101" s="55" t="s">
        <v>1369</v>
      </c>
      <c r="CJ101" s="55" t="s">
        <v>1370</v>
      </c>
      <c r="CK101" s="55" t="s">
        <v>1371</v>
      </c>
      <c r="CL101" s="55" t="s">
        <v>1372</v>
      </c>
      <c r="CM101" s="55" t="s">
        <v>1373</v>
      </c>
      <c r="CN101" s="55" t="s">
        <v>166</v>
      </c>
      <c r="CO101" s="55" t="s">
        <v>1374</v>
      </c>
      <c r="CP101" s="55" t="s">
        <v>1375</v>
      </c>
      <c r="CQ101" s="55" t="s">
        <v>1376</v>
      </c>
      <c r="CR101" s="55" t="s">
        <v>1377</v>
      </c>
      <c r="CS101" s="55" t="s">
        <v>170</v>
      </c>
      <c r="CT101" s="55" t="s">
        <v>171</v>
      </c>
      <c r="CU101" s="55" t="s">
        <v>1378</v>
      </c>
      <c r="CV101" s="55" t="s">
        <v>1379</v>
      </c>
    </row>
    <row r="102" spans="1:100">
      <c r="A102" s="55" t="s">
        <v>1380</v>
      </c>
      <c r="B102" s="55" t="s">
        <v>1381</v>
      </c>
      <c r="C102" s="55" t="s">
        <v>135</v>
      </c>
      <c r="D102" s="55" t="b">
        <v>0</v>
      </c>
      <c r="E102" s="55" t="b">
        <v>0</v>
      </c>
      <c r="F102" s="55" t="s">
        <v>136</v>
      </c>
      <c r="G102" s="55" t="s">
        <v>1382</v>
      </c>
      <c r="H102" s="55" t="s">
        <v>138</v>
      </c>
      <c r="I102" s="55" t="s">
        <v>139</v>
      </c>
      <c r="J102" s="55" t="s">
        <v>136</v>
      </c>
      <c r="K102" s="55" t="b">
        <v>0</v>
      </c>
      <c r="L102" s="56">
        <v>45787.557754629634</v>
      </c>
      <c r="O102" s="55">
        <v>0</v>
      </c>
      <c r="P102" s="56">
        <v>44014.382060185177</v>
      </c>
      <c r="Q102" s="56">
        <v>45889.509814814817</v>
      </c>
      <c r="R102" s="57">
        <v>4</v>
      </c>
      <c r="S102" s="55" t="s">
        <v>140</v>
      </c>
      <c r="T102" s="57">
        <v>32768</v>
      </c>
      <c r="U102" s="55">
        <v>983</v>
      </c>
      <c r="V102" s="55">
        <v>3</v>
      </c>
      <c r="W102" s="55">
        <v>5</v>
      </c>
      <c r="X102" s="58">
        <v>1619148</v>
      </c>
      <c r="Z102" s="55" t="s">
        <v>1326</v>
      </c>
      <c r="AA102" s="55" t="s">
        <v>142</v>
      </c>
      <c r="AC102" s="55" t="b">
        <v>1</v>
      </c>
      <c r="AD102" s="55" t="b">
        <v>1</v>
      </c>
      <c r="AE102" s="55" t="s">
        <v>1383</v>
      </c>
      <c r="AF102" s="55" t="s">
        <v>1328</v>
      </c>
      <c r="AG102" s="55" t="s">
        <v>1329</v>
      </c>
      <c r="AH102" s="55" t="s">
        <v>1384</v>
      </c>
      <c r="AN102" s="55">
        <v>1</v>
      </c>
      <c r="AO102" s="55">
        <v>16384</v>
      </c>
      <c r="AP102" s="55" t="s">
        <v>1331</v>
      </c>
      <c r="AQ102" s="55" t="s">
        <v>317</v>
      </c>
      <c r="AR102" s="55" t="s">
        <v>318</v>
      </c>
      <c r="AT102" s="55" t="b">
        <v>1</v>
      </c>
      <c r="AU102" s="55" t="s">
        <v>150</v>
      </c>
      <c r="AW102" s="55" t="s">
        <v>151</v>
      </c>
      <c r="AX102" s="55">
        <v>-1</v>
      </c>
      <c r="AY102" s="55">
        <v>-1</v>
      </c>
      <c r="BA102" s="55">
        <v>1652142</v>
      </c>
      <c r="BB102" s="55">
        <v>1652142</v>
      </c>
      <c r="BC102" s="55">
        <v>1619149</v>
      </c>
      <c r="BD102" s="55" t="s">
        <v>152</v>
      </c>
      <c r="BE102" s="55" t="s">
        <v>153</v>
      </c>
      <c r="BF102" s="55" t="s">
        <v>154</v>
      </c>
      <c r="BI102" s="55" t="b">
        <v>0</v>
      </c>
      <c r="BJ102" s="55">
        <v>0</v>
      </c>
      <c r="BK102" s="55">
        <v>10000</v>
      </c>
      <c r="BL102" s="55" t="b">
        <v>0</v>
      </c>
      <c r="BM102" s="55" t="b">
        <v>0</v>
      </c>
      <c r="BO102" s="55" t="b">
        <v>0</v>
      </c>
      <c r="BP102" s="55" t="s">
        <v>155</v>
      </c>
      <c r="BQ102" s="55">
        <v>15</v>
      </c>
      <c r="BR102" s="55" t="s">
        <v>153</v>
      </c>
      <c r="BS102" s="55" t="s">
        <v>156</v>
      </c>
      <c r="BU102" s="55" t="s">
        <v>1385</v>
      </c>
      <c r="BV102" s="55" t="s">
        <v>1386</v>
      </c>
      <c r="BW102" s="55" t="s">
        <v>1386</v>
      </c>
      <c r="BX102" s="55" t="s">
        <v>1386</v>
      </c>
      <c r="BY102" s="55" t="s">
        <v>1387</v>
      </c>
      <c r="BZ102" s="55" t="s">
        <v>1388</v>
      </c>
      <c r="CA102" s="55" t="s">
        <v>1389</v>
      </c>
      <c r="CI102" s="55" t="s">
        <v>161</v>
      </c>
      <c r="CJ102" s="55" t="s">
        <v>1340</v>
      </c>
      <c r="CK102" s="55" t="s">
        <v>1390</v>
      </c>
      <c r="CL102" s="55" t="s">
        <v>1042</v>
      </c>
      <c r="CM102" s="55" t="s">
        <v>1042</v>
      </c>
      <c r="CN102" s="55" t="s">
        <v>166</v>
      </c>
      <c r="CP102" s="55" t="s">
        <v>1391</v>
      </c>
      <c r="CQ102" s="55" t="s">
        <v>1392</v>
      </c>
      <c r="CR102" s="55" t="s">
        <v>1393</v>
      </c>
      <c r="CS102" s="55" t="s">
        <v>170</v>
      </c>
      <c r="CT102" s="55" t="s">
        <v>171</v>
      </c>
      <c r="CU102" s="55" t="s">
        <v>172</v>
      </c>
      <c r="CV102" s="55" t="s">
        <v>173</v>
      </c>
    </row>
    <row r="103" spans="1:100">
      <c r="A103" s="55" t="s">
        <v>1394</v>
      </c>
      <c r="B103" s="55" t="s">
        <v>1395</v>
      </c>
      <c r="C103" s="55" t="s">
        <v>135</v>
      </c>
      <c r="D103" s="55" t="b">
        <v>0</v>
      </c>
      <c r="E103" s="55" t="b">
        <v>0</v>
      </c>
      <c r="F103" s="55" t="s">
        <v>136</v>
      </c>
      <c r="G103" s="55" t="s">
        <v>1396</v>
      </c>
      <c r="H103" s="55" t="s">
        <v>138</v>
      </c>
      <c r="I103" s="55" t="s">
        <v>139</v>
      </c>
      <c r="J103" s="55" t="s">
        <v>136</v>
      </c>
      <c r="K103" s="55" t="b">
        <v>0</v>
      </c>
      <c r="L103" s="56">
        <v>45787.560694444437</v>
      </c>
      <c r="O103" s="55">
        <v>0</v>
      </c>
      <c r="P103" s="56">
        <v>44014.380150462966</v>
      </c>
      <c r="Q103" s="56">
        <v>45891.181967592587</v>
      </c>
      <c r="R103" s="57">
        <v>4</v>
      </c>
      <c r="S103" s="55" t="s">
        <v>140</v>
      </c>
      <c r="T103" s="57">
        <v>32768</v>
      </c>
      <c r="U103" s="55">
        <v>1638</v>
      </c>
      <c r="V103" s="55">
        <v>3</v>
      </c>
      <c r="W103" s="55">
        <v>5</v>
      </c>
      <c r="X103" s="58">
        <v>1619148</v>
      </c>
      <c r="Z103" s="55" t="s">
        <v>1326</v>
      </c>
      <c r="AA103" s="55" t="s">
        <v>142</v>
      </c>
      <c r="AC103" s="55" t="b">
        <v>1</v>
      </c>
      <c r="AD103" s="55" t="b">
        <v>1</v>
      </c>
      <c r="AE103" s="55" t="s">
        <v>1397</v>
      </c>
      <c r="AF103" s="55" t="s">
        <v>1328</v>
      </c>
      <c r="AG103" s="55" t="s">
        <v>1329</v>
      </c>
      <c r="AH103" s="55" t="s">
        <v>1384</v>
      </c>
      <c r="AN103" s="55">
        <v>1</v>
      </c>
      <c r="AO103" s="55">
        <v>16384</v>
      </c>
      <c r="AP103" s="55" t="s">
        <v>1331</v>
      </c>
      <c r="AQ103" s="55" t="s">
        <v>317</v>
      </c>
      <c r="AR103" s="55" t="s">
        <v>318</v>
      </c>
      <c r="AT103" s="55" t="b">
        <v>1</v>
      </c>
      <c r="AU103" s="55" t="s">
        <v>150</v>
      </c>
      <c r="AW103" s="55" t="s">
        <v>151</v>
      </c>
      <c r="AX103" s="55">
        <v>-1</v>
      </c>
      <c r="AY103" s="55">
        <v>-1</v>
      </c>
      <c r="BA103" s="55">
        <v>1652064</v>
      </c>
      <c r="BB103" s="55">
        <v>1652064</v>
      </c>
      <c r="BC103" s="55">
        <v>1619149</v>
      </c>
      <c r="BD103" s="55" t="s">
        <v>152</v>
      </c>
      <c r="BE103" s="55" t="s">
        <v>153</v>
      </c>
      <c r="BF103" s="55" t="s">
        <v>154</v>
      </c>
      <c r="BI103" s="55" t="b">
        <v>0</v>
      </c>
      <c r="BJ103" s="55">
        <v>0</v>
      </c>
      <c r="BK103" s="55">
        <v>10000</v>
      </c>
      <c r="BL103" s="55" t="b">
        <v>0</v>
      </c>
      <c r="BM103" s="55" t="b">
        <v>0</v>
      </c>
      <c r="BO103" s="55" t="b">
        <v>0</v>
      </c>
      <c r="BP103" s="55" t="s">
        <v>155</v>
      </c>
      <c r="BQ103" s="55">
        <v>15</v>
      </c>
      <c r="BR103" s="55" t="s">
        <v>153</v>
      </c>
      <c r="BS103" s="55" t="s">
        <v>156</v>
      </c>
      <c r="BU103" s="55" t="s">
        <v>1398</v>
      </c>
      <c r="BV103" s="55" t="s">
        <v>1399</v>
      </c>
      <c r="BW103" s="55" t="s">
        <v>1399</v>
      </c>
      <c r="BX103" s="55" t="s">
        <v>1399</v>
      </c>
      <c r="BY103" s="55" t="s">
        <v>1387</v>
      </c>
      <c r="BZ103" s="55" t="s">
        <v>1400</v>
      </c>
      <c r="CA103" s="55" t="s">
        <v>1401</v>
      </c>
      <c r="CI103" s="55" t="s">
        <v>161</v>
      </c>
      <c r="CJ103" s="55" t="s">
        <v>1340</v>
      </c>
      <c r="CK103" s="55" t="s">
        <v>1402</v>
      </c>
      <c r="CL103" s="55" t="s">
        <v>1042</v>
      </c>
      <c r="CM103" s="55" t="s">
        <v>1042</v>
      </c>
      <c r="CN103" s="55" t="s">
        <v>166</v>
      </c>
      <c r="CP103" s="55" t="s">
        <v>1403</v>
      </c>
      <c r="CQ103" s="55" t="s">
        <v>1404</v>
      </c>
      <c r="CR103" s="55" t="s">
        <v>1405</v>
      </c>
      <c r="CS103" s="55" t="s">
        <v>170</v>
      </c>
      <c r="CT103" s="55" t="s">
        <v>171</v>
      </c>
      <c r="CU103" s="55" t="s">
        <v>172</v>
      </c>
      <c r="CV103" s="55" t="s">
        <v>173</v>
      </c>
    </row>
    <row r="104" spans="1:100">
      <c r="A104" s="55" t="s">
        <v>1406</v>
      </c>
      <c r="B104" s="55" t="s">
        <v>1407</v>
      </c>
      <c r="C104" s="55" t="s">
        <v>135</v>
      </c>
      <c r="D104" s="55" t="b">
        <v>0</v>
      </c>
      <c r="E104" s="55" t="b">
        <v>0</v>
      </c>
      <c r="F104" s="55" t="s">
        <v>136</v>
      </c>
      <c r="G104" s="55" t="s">
        <v>1408</v>
      </c>
      <c r="H104" s="55" t="s">
        <v>138</v>
      </c>
      <c r="I104" s="55" t="s">
        <v>139</v>
      </c>
      <c r="J104" s="55" t="s">
        <v>136</v>
      </c>
      <c r="K104" s="55" t="b">
        <v>0</v>
      </c>
      <c r="L104" s="56">
        <v>45805.863900462973</v>
      </c>
      <c r="O104" s="55">
        <v>0</v>
      </c>
      <c r="P104" s="56">
        <v>25568.791666666672</v>
      </c>
      <c r="Q104" s="56">
        <v>45864.422824074078</v>
      </c>
      <c r="R104" s="57">
        <v>4</v>
      </c>
      <c r="T104" s="57">
        <v>8192</v>
      </c>
      <c r="U104" s="55">
        <v>819</v>
      </c>
      <c r="V104" s="55">
        <v>3</v>
      </c>
      <c r="W104" s="55">
        <v>1</v>
      </c>
      <c r="X104" s="58">
        <v>512383</v>
      </c>
      <c r="Z104" s="55" t="s">
        <v>832</v>
      </c>
      <c r="AA104" s="55" t="s">
        <v>142</v>
      </c>
      <c r="AC104" s="55" t="b">
        <v>1</v>
      </c>
      <c r="AD104" s="55" t="b">
        <v>1</v>
      </c>
      <c r="AE104" s="55" t="s">
        <v>1409</v>
      </c>
      <c r="AF104" s="55" t="s">
        <v>834</v>
      </c>
      <c r="AG104" s="55" t="s">
        <v>1410</v>
      </c>
      <c r="AH104" s="55" t="s">
        <v>836</v>
      </c>
      <c r="AN104" s="55">
        <v>1</v>
      </c>
      <c r="AO104" s="55">
        <v>0</v>
      </c>
      <c r="AP104" s="55" t="s">
        <v>837</v>
      </c>
      <c r="AQ104" s="55" t="s">
        <v>317</v>
      </c>
      <c r="AR104" s="55" t="s">
        <v>318</v>
      </c>
      <c r="AT104" s="55" t="b">
        <v>1</v>
      </c>
      <c r="AU104" s="55" t="s">
        <v>150</v>
      </c>
      <c r="AW104" s="55" t="s">
        <v>151</v>
      </c>
      <c r="AX104" s="55">
        <v>-1</v>
      </c>
      <c r="AY104" s="55">
        <v>-1</v>
      </c>
      <c r="BA104" s="55">
        <v>520723</v>
      </c>
      <c r="BB104" s="55">
        <v>520723</v>
      </c>
      <c r="BC104" s="55">
        <v>512383</v>
      </c>
      <c r="BD104" s="55" t="s">
        <v>152</v>
      </c>
      <c r="BE104" s="55" t="s">
        <v>153</v>
      </c>
      <c r="BF104" s="55" t="s">
        <v>154</v>
      </c>
      <c r="BI104" s="55" t="b">
        <v>0</v>
      </c>
      <c r="BJ104" s="55">
        <v>0</v>
      </c>
      <c r="BK104" s="55">
        <v>10000</v>
      </c>
      <c r="BL104" s="55" t="b">
        <v>0</v>
      </c>
      <c r="BM104" s="55" t="b">
        <v>0</v>
      </c>
      <c r="BO104" s="55" t="b">
        <v>0</v>
      </c>
      <c r="BP104" s="55" t="s">
        <v>155</v>
      </c>
      <c r="BQ104" s="55">
        <v>13</v>
      </c>
      <c r="BR104" s="55" t="s">
        <v>153</v>
      </c>
      <c r="BS104" s="55" t="s">
        <v>156</v>
      </c>
      <c r="BU104" s="55" t="s">
        <v>1411</v>
      </c>
      <c r="BV104" s="55" t="s">
        <v>1412</v>
      </c>
      <c r="BW104" s="55" t="s">
        <v>1412</v>
      </c>
      <c r="BX104" s="55" t="s">
        <v>1412</v>
      </c>
      <c r="BZ104" s="55" t="s">
        <v>1413</v>
      </c>
      <c r="CA104" s="55" t="s">
        <v>880</v>
      </c>
      <c r="CB104" s="55" t="s">
        <v>1414</v>
      </c>
      <c r="CI104" s="55" t="s">
        <v>161</v>
      </c>
      <c r="CJ104" s="55" t="s">
        <v>844</v>
      </c>
      <c r="CK104" s="55" t="s">
        <v>896</v>
      </c>
      <c r="CL104" s="55" t="s">
        <v>826</v>
      </c>
      <c r="CM104" s="55" t="s">
        <v>826</v>
      </c>
      <c r="CP104" s="55" t="s">
        <v>1414</v>
      </c>
      <c r="CQ104" s="55" t="s">
        <v>1415</v>
      </c>
      <c r="CR104" s="55" t="s">
        <v>1416</v>
      </c>
      <c r="CS104" s="55" t="s">
        <v>170</v>
      </c>
      <c r="CT104" s="55" t="s">
        <v>171</v>
      </c>
      <c r="CU104" s="55" t="s">
        <v>172</v>
      </c>
      <c r="CV104" s="55" t="s">
        <v>173</v>
      </c>
    </row>
    <row r="105" spans="1:100">
      <c r="A105" s="55" t="s">
        <v>1417</v>
      </c>
      <c r="B105" s="55" t="s">
        <v>1418</v>
      </c>
      <c r="C105" s="55" t="s">
        <v>135</v>
      </c>
      <c r="D105" s="55" t="b">
        <v>0</v>
      </c>
      <c r="E105" s="55" t="b">
        <v>0</v>
      </c>
      <c r="F105" s="55" t="s">
        <v>136</v>
      </c>
      <c r="G105" s="55" t="s">
        <v>1419</v>
      </c>
      <c r="H105" s="55" t="s">
        <v>138</v>
      </c>
      <c r="I105" s="55" t="s">
        <v>139</v>
      </c>
      <c r="J105" s="55" t="s">
        <v>136</v>
      </c>
      <c r="K105" s="55" t="b">
        <v>0</v>
      </c>
      <c r="L105" s="56">
        <v>45773.923194444447</v>
      </c>
      <c r="O105" s="55">
        <v>0</v>
      </c>
      <c r="P105" s="56">
        <v>25568.791666666672</v>
      </c>
      <c r="Q105" s="56">
        <v>45773.995266203703</v>
      </c>
      <c r="R105" s="57">
        <v>4</v>
      </c>
      <c r="S105" s="55" t="s">
        <v>140</v>
      </c>
      <c r="T105" s="57">
        <v>32768</v>
      </c>
      <c r="U105" s="55">
        <v>1638</v>
      </c>
      <c r="V105" s="55">
        <v>4</v>
      </c>
      <c r="W105" s="55">
        <v>4</v>
      </c>
      <c r="X105" s="58">
        <v>307200</v>
      </c>
      <c r="Z105" s="55" t="s">
        <v>813</v>
      </c>
      <c r="AA105" s="55" t="s">
        <v>142</v>
      </c>
      <c r="AC105" s="55" t="b">
        <v>1</v>
      </c>
      <c r="AD105" s="55" t="b">
        <v>1</v>
      </c>
      <c r="AE105" s="55" t="s">
        <v>1420</v>
      </c>
      <c r="AF105" s="55" t="s">
        <v>815</v>
      </c>
      <c r="AG105" s="55" t="s">
        <v>1362</v>
      </c>
      <c r="AH105" s="55" t="s">
        <v>852</v>
      </c>
      <c r="AI105" s="55" t="s">
        <v>905</v>
      </c>
      <c r="AN105" s="55">
        <v>1</v>
      </c>
      <c r="AO105" s="55">
        <v>16384</v>
      </c>
      <c r="AP105" s="55" t="s">
        <v>818</v>
      </c>
      <c r="AQ105" s="55" t="s">
        <v>317</v>
      </c>
      <c r="AR105" s="55" t="s">
        <v>318</v>
      </c>
      <c r="AT105" s="55" t="b">
        <v>1</v>
      </c>
      <c r="AU105" s="55" t="s">
        <v>150</v>
      </c>
      <c r="AW105" s="55" t="s">
        <v>151</v>
      </c>
      <c r="AX105" s="55">
        <v>-1</v>
      </c>
      <c r="AY105" s="55">
        <v>-1</v>
      </c>
      <c r="BA105" s="55">
        <v>340377</v>
      </c>
      <c r="BB105" s="55">
        <v>340377</v>
      </c>
      <c r="BC105" s="55">
        <v>307200</v>
      </c>
      <c r="BD105" s="55" t="s">
        <v>152</v>
      </c>
      <c r="BE105" s="55" t="s">
        <v>153</v>
      </c>
      <c r="BF105" s="55" t="s">
        <v>154</v>
      </c>
      <c r="BI105" s="55" t="b">
        <v>0</v>
      </c>
      <c r="BJ105" s="55">
        <v>0</v>
      </c>
      <c r="BK105" s="55">
        <v>10000</v>
      </c>
      <c r="BL105" s="55" t="b">
        <v>0</v>
      </c>
      <c r="BM105" s="55" t="b">
        <v>0</v>
      </c>
      <c r="BO105" s="55" t="b">
        <v>0</v>
      </c>
      <c r="BP105" s="55" t="s">
        <v>155</v>
      </c>
      <c r="BQ105" s="55">
        <v>15</v>
      </c>
      <c r="BR105" s="55" t="s">
        <v>153</v>
      </c>
      <c r="BS105" s="55" t="s">
        <v>156</v>
      </c>
      <c r="BU105" s="55" t="s">
        <v>1421</v>
      </c>
      <c r="BV105" s="55" t="s">
        <v>1422</v>
      </c>
      <c r="BW105" s="55" t="s">
        <v>1422</v>
      </c>
      <c r="BX105" s="55" t="s">
        <v>1422</v>
      </c>
      <c r="BY105" s="55" t="s">
        <v>1423</v>
      </c>
      <c r="BZ105" s="55" t="s">
        <v>1424</v>
      </c>
      <c r="CA105" s="55" t="s">
        <v>1425</v>
      </c>
      <c r="CI105" s="55" t="s">
        <v>161</v>
      </c>
      <c r="CJ105" s="55" t="s">
        <v>824</v>
      </c>
      <c r="CK105" s="55" t="s">
        <v>869</v>
      </c>
      <c r="CL105" s="55" t="s">
        <v>826</v>
      </c>
      <c r="CM105" s="55" t="s">
        <v>826</v>
      </c>
      <c r="CN105" s="55" t="s">
        <v>166</v>
      </c>
      <c r="CP105" s="55" t="s">
        <v>1426</v>
      </c>
      <c r="CQ105" s="55" t="s">
        <v>1427</v>
      </c>
      <c r="CR105" s="55" t="s">
        <v>1428</v>
      </c>
      <c r="CS105" s="55" t="s">
        <v>170</v>
      </c>
      <c r="CT105" s="55" t="s">
        <v>171</v>
      </c>
      <c r="CU105" s="55" t="s">
        <v>172</v>
      </c>
      <c r="CV105" s="55" t="s">
        <v>173</v>
      </c>
    </row>
    <row r="106" spans="1:100">
      <c r="A106" s="55" t="s">
        <v>1429</v>
      </c>
      <c r="B106" s="55" t="s">
        <v>1430</v>
      </c>
      <c r="C106" s="55" t="s">
        <v>135</v>
      </c>
      <c r="D106" s="55" t="b">
        <v>0</v>
      </c>
      <c r="E106" s="55" t="b">
        <v>0</v>
      </c>
      <c r="F106" s="55" t="s">
        <v>136</v>
      </c>
      <c r="G106" s="55" t="s">
        <v>1408</v>
      </c>
      <c r="H106" s="55" t="s">
        <v>138</v>
      </c>
      <c r="I106" s="55" t="s">
        <v>139</v>
      </c>
      <c r="J106" s="55" t="s">
        <v>136</v>
      </c>
      <c r="K106" s="55" t="b">
        <v>0</v>
      </c>
      <c r="L106" s="56">
        <v>45773.948344907411</v>
      </c>
      <c r="O106" s="55">
        <v>0</v>
      </c>
      <c r="P106" s="56">
        <v>25568.791666666672</v>
      </c>
      <c r="Q106" s="56">
        <v>45900.350624999999</v>
      </c>
      <c r="R106" s="57">
        <v>4</v>
      </c>
      <c r="S106" s="55" t="s">
        <v>140</v>
      </c>
      <c r="T106" s="57">
        <v>16384</v>
      </c>
      <c r="U106" s="55">
        <v>819</v>
      </c>
      <c r="V106" s="55">
        <v>3</v>
      </c>
      <c r="W106" s="55">
        <v>1</v>
      </c>
      <c r="X106" s="58">
        <v>512383</v>
      </c>
      <c r="Z106" s="55" t="s">
        <v>813</v>
      </c>
      <c r="AA106" s="55" t="s">
        <v>142</v>
      </c>
      <c r="AC106" s="55" t="b">
        <v>1</v>
      </c>
      <c r="AD106" s="55" t="b">
        <v>1</v>
      </c>
      <c r="AE106" s="55" t="s">
        <v>1431</v>
      </c>
      <c r="AF106" s="55" t="s">
        <v>1432</v>
      </c>
      <c r="AG106" s="55" t="s">
        <v>1433</v>
      </c>
      <c r="AH106" s="55" t="s">
        <v>1434</v>
      </c>
      <c r="AN106" s="55">
        <v>1</v>
      </c>
      <c r="AO106" s="55">
        <v>16384</v>
      </c>
      <c r="AP106" s="55" t="s">
        <v>1435</v>
      </c>
      <c r="AQ106" s="55" t="s">
        <v>1436</v>
      </c>
      <c r="AR106" s="55" t="s">
        <v>1437</v>
      </c>
      <c r="AT106" s="55" t="b">
        <v>1</v>
      </c>
      <c r="AU106" s="55" t="s">
        <v>150</v>
      </c>
      <c r="AW106" s="55" t="s">
        <v>151</v>
      </c>
      <c r="AX106" s="55">
        <v>-1</v>
      </c>
      <c r="AY106" s="55">
        <v>-1</v>
      </c>
      <c r="BA106" s="55">
        <v>529027</v>
      </c>
      <c r="BB106" s="55">
        <v>529027</v>
      </c>
      <c r="BC106" s="55">
        <v>512383</v>
      </c>
      <c r="BD106" s="55" t="s">
        <v>152</v>
      </c>
      <c r="BE106" s="55" t="s">
        <v>153</v>
      </c>
      <c r="BF106" s="55" t="s">
        <v>154</v>
      </c>
      <c r="BI106" s="55" t="b">
        <v>0</v>
      </c>
      <c r="BJ106" s="55">
        <v>0</v>
      </c>
      <c r="BK106" s="55">
        <v>10000</v>
      </c>
      <c r="BL106" s="55" t="b">
        <v>0</v>
      </c>
      <c r="BM106" s="55" t="b">
        <v>0</v>
      </c>
      <c r="BO106" s="55" t="b">
        <v>0</v>
      </c>
      <c r="BP106" s="55" t="s">
        <v>155</v>
      </c>
      <c r="BQ106" s="55">
        <v>13</v>
      </c>
      <c r="BR106" s="55" t="s">
        <v>153</v>
      </c>
      <c r="BS106" s="55" t="s">
        <v>156</v>
      </c>
      <c r="BU106" s="55" t="s">
        <v>1438</v>
      </c>
      <c r="BV106" s="55" t="s">
        <v>1439</v>
      </c>
      <c r="BW106" s="55" t="s">
        <v>1439</v>
      </c>
      <c r="BX106" s="55" t="s">
        <v>1439</v>
      </c>
      <c r="BZ106" s="55" t="s">
        <v>1440</v>
      </c>
      <c r="CA106" s="55" t="s">
        <v>1441</v>
      </c>
      <c r="CI106" s="55" t="s">
        <v>1442</v>
      </c>
      <c r="CJ106" s="55" t="s">
        <v>1443</v>
      </c>
      <c r="CK106" s="55" t="s">
        <v>1444</v>
      </c>
      <c r="CL106" s="55" t="s">
        <v>826</v>
      </c>
      <c r="CM106" s="55" t="s">
        <v>826</v>
      </c>
      <c r="CN106" s="55" t="s">
        <v>166</v>
      </c>
      <c r="CP106" s="55" t="s">
        <v>1445</v>
      </c>
      <c r="CQ106" s="55" t="s">
        <v>1446</v>
      </c>
      <c r="CR106" s="55" t="s">
        <v>1447</v>
      </c>
      <c r="CS106" s="55" t="s">
        <v>170</v>
      </c>
      <c r="CT106" s="55" t="s">
        <v>171</v>
      </c>
      <c r="CU106" s="55" t="s">
        <v>1448</v>
      </c>
      <c r="CV106" s="55" t="s">
        <v>1449</v>
      </c>
    </row>
    <row r="107" spans="1:100">
      <c r="A107" s="55" t="s">
        <v>1450</v>
      </c>
      <c r="B107" s="55" t="s">
        <v>1451</v>
      </c>
      <c r="C107" s="55" t="s">
        <v>135</v>
      </c>
      <c r="D107" s="55" t="b">
        <v>0</v>
      </c>
      <c r="E107" s="55" t="b">
        <v>0</v>
      </c>
      <c r="F107" s="55" t="s">
        <v>136</v>
      </c>
      <c r="G107" s="55" t="s">
        <v>1452</v>
      </c>
      <c r="H107" s="55" t="s">
        <v>138</v>
      </c>
      <c r="I107" s="55" t="s">
        <v>139</v>
      </c>
      <c r="J107" s="55" t="s">
        <v>136</v>
      </c>
      <c r="K107" s="55" t="b">
        <v>0</v>
      </c>
      <c r="L107" s="56">
        <v>45897.660266203697</v>
      </c>
      <c r="O107" s="55">
        <v>0</v>
      </c>
      <c r="P107" s="56">
        <v>25568.791666666672</v>
      </c>
      <c r="Q107" s="56">
        <v>45897.748090277782</v>
      </c>
      <c r="R107" s="57">
        <v>4</v>
      </c>
      <c r="S107" s="55" t="s">
        <v>140</v>
      </c>
      <c r="T107" s="57">
        <v>8192</v>
      </c>
      <c r="U107" s="55">
        <v>901</v>
      </c>
      <c r="V107" s="55">
        <v>3</v>
      </c>
      <c r="W107" s="55">
        <v>10</v>
      </c>
      <c r="X107" s="58">
        <v>30511104</v>
      </c>
      <c r="Z107" s="55" t="s">
        <v>311</v>
      </c>
      <c r="AA107" s="55" t="s">
        <v>142</v>
      </c>
      <c r="AD107" s="55" t="b">
        <v>1</v>
      </c>
      <c r="AE107" s="55" t="s">
        <v>1453</v>
      </c>
      <c r="AF107" s="55" t="s">
        <v>930</v>
      </c>
      <c r="AG107" s="55" t="s">
        <v>654</v>
      </c>
      <c r="AH107" s="55" t="s">
        <v>315</v>
      </c>
      <c r="AN107" s="55">
        <v>1</v>
      </c>
      <c r="AO107" s="55">
        <v>16384</v>
      </c>
      <c r="AP107" s="55" t="s">
        <v>416</v>
      </c>
      <c r="AQ107" s="55" t="s">
        <v>317</v>
      </c>
      <c r="AR107" s="55" t="s">
        <v>318</v>
      </c>
      <c r="AT107" s="55" t="b">
        <v>1</v>
      </c>
      <c r="AU107" s="55" t="s">
        <v>150</v>
      </c>
      <c r="AW107" s="55" t="s">
        <v>151</v>
      </c>
      <c r="AX107" s="55">
        <v>-1</v>
      </c>
      <c r="AY107" s="55">
        <v>-1</v>
      </c>
      <c r="BA107" s="55">
        <v>30519529</v>
      </c>
      <c r="BB107" s="55">
        <v>30499750</v>
      </c>
      <c r="BC107" s="55">
        <v>30491325</v>
      </c>
      <c r="BD107" s="55" t="s">
        <v>152</v>
      </c>
      <c r="BE107" s="55" t="s">
        <v>153</v>
      </c>
      <c r="BF107" s="55" t="s">
        <v>154</v>
      </c>
      <c r="BI107" s="55" t="b">
        <v>0</v>
      </c>
      <c r="BJ107" s="55">
        <v>0</v>
      </c>
      <c r="BK107" s="55">
        <v>10000</v>
      </c>
      <c r="BL107" s="55" t="b">
        <v>0</v>
      </c>
      <c r="BM107" s="55" t="b">
        <v>0</v>
      </c>
      <c r="BO107" s="55" t="b">
        <v>0</v>
      </c>
      <c r="BP107" s="55" t="s">
        <v>155</v>
      </c>
      <c r="BQ107" s="55">
        <v>19</v>
      </c>
      <c r="BR107" s="55" t="s">
        <v>153</v>
      </c>
      <c r="BS107" s="55" t="s">
        <v>156</v>
      </c>
      <c r="BU107" s="55" t="s">
        <v>1454</v>
      </c>
      <c r="BV107" s="55" t="s">
        <v>1455</v>
      </c>
      <c r="BW107" s="55" t="s">
        <v>1455</v>
      </c>
      <c r="BX107" s="55" t="s">
        <v>1455</v>
      </c>
      <c r="BZ107" s="55" t="s">
        <v>1456</v>
      </c>
      <c r="CA107" s="55" t="s">
        <v>1457</v>
      </c>
      <c r="CI107" s="55" t="s">
        <v>161</v>
      </c>
      <c r="CJ107" s="55" t="s">
        <v>323</v>
      </c>
      <c r="CK107" s="55" t="s">
        <v>338</v>
      </c>
      <c r="CL107" s="55" t="s">
        <v>683</v>
      </c>
      <c r="CM107" s="55" t="s">
        <v>683</v>
      </c>
      <c r="CN107" s="55" t="s">
        <v>166</v>
      </c>
      <c r="CP107" s="55" t="s">
        <v>1458</v>
      </c>
      <c r="CQ107" s="55" t="s">
        <v>1459</v>
      </c>
      <c r="CR107" s="55" t="s">
        <v>1460</v>
      </c>
      <c r="CS107" s="55" t="s">
        <v>170</v>
      </c>
      <c r="CT107" s="55" t="s">
        <v>171</v>
      </c>
      <c r="CU107" s="55" t="s">
        <v>172</v>
      </c>
      <c r="CV107" s="55" t="s">
        <v>173</v>
      </c>
    </row>
    <row r="108" spans="1:100">
      <c r="A108" s="55" t="s">
        <v>1461</v>
      </c>
      <c r="B108" s="55" t="s">
        <v>1462</v>
      </c>
      <c r="C108" s="55" t="s">
        <v>135</v>
      </c>
      <c r="D108" s="55" t="b">
        <v>0</v>
      </c>
      <c r="E108" s="55" t="b">
        <v>0</v>
      </c>
      <c r="F108" s="55" t="s">
        <v>136</v>
      </c>
      <c r="G108" s="55" t="s">
        <v>1463</v>
      </c>
      <c r="H108" s="55" t="s">
        <v>138</v>
      </c>
      <c r="I108" s="55" t="s">
        <v>139</v>
      </c>
      <c r="J108" s="55" t="s">
        <v>136</v>
      </c>
      <c r="K108" s="55" t="b">
        <v>0</v>
      </c>
      <c r="L108" s="56">
        <v>45773.948136574072</v>
      </c>
      <c r="O108" s="55">
        <v>0</v>
      </c>
      <c r="P108" s="56">
        <v>25568.791666666672</v>
      </c>
      <c r="Q108" s="56">
        <v>45901.698564814818</v>
      </c>
      <c r="R108" s="57">
        <v>4</v>
      </c>
      <c r="S108" s="55" t="s">
        <v>140</v>
      </c>
      <c r="T108" s="57">
        <v>8192</v>
      </c>
      <c r="U108" s="55">
        <v>655</v>
      </c>
      <c r="V108" s="55">
        <v>3</v>
      </c>
      <c r="W108" s="55">
        <v>3</v>
      </c>
      <c r="X108" s="58">
        <v>204800</v>
      </c>
      <c r="Z108" s="55" t="s">
        <v>813</v>
      </c>
      <c r="AA108" s="55" t="s">
        <v>142</v>
      </c>
      <c r="AC108" s="55" t="b">
        <v>1</v>
      </c>
      <c r="AD108" s="55" t="b">
        <v>1</v>
      </c>
      <c r="AE108" s="55" t="s">
        <v>1464</v>
      </c>
      <c r="AF108" s="55" t="s">
        <v>1465</v>
      </c>
      <c r="AG108" s="55" t="s">
        <v>1433</v>
      </c>
      <c r="AH108" s="55" t="s">
        <v>1434</v>
      </c>
      <c r="AN108" s="55">
        <v>1</v>
      </c>
      <c r="AO108" s="55">
        <v>16384</v>
      </c>
      <c r="AP108" s="55" t="s">
        <v>1435</v>
      </c>
      <c r="AQ108" s="55" t="s">
        <v>1436</v>
      </c>
      <c r="AR108" s="55" t="s">
        <v>1437</v>
      </c>
      <c r="AT108" s="55" t="b">
        <v>1</v>
      </c>
      <c r="AU108" s="55" t="s">
        <v>150</v>
      </c>
      <c r="AW108" s="55" t="s">
        <v>151</v>
      </c>
      <c r="AX108" s="55">
        <v>-1</v>
      </c>
      <c r="AY108" s="55">
        <v>-1</v>
      </c>
      <c r="BA108" s="55">
        <v>213083</v>
      </c>
      <c r="BB108" s="55">
        <v>213083</v>
      </c>
      <c r="BC108" s="55">
        <v>204800</v>
      </c>
      <c r="BD108" s="55" t="s">
        <v>152</v>
      </c>
      <c r="BE108" s="55" t="s">
        <v>153</v>
      </c>
      <c r="BF108" s="55" t="s">
        <v>154</v>
      </c>
      <c r="BI108" s="55" t="b">
        <v>0</v>
      </c>
      <c r="BJ108" s="55">
        <v>0</v>
      </c>
      <c r="BK108" s="55">
        <v>10000</v>
      </c>
      <c r="BL108" s="55" t="b">
        <v>0</v>
      </c>
      <c r="BM108" s="55" t="b">
        <v>0</v>
      </c>
      <c r="BO108" s="55" t="b">
        <v>0</v>
      </c>
      <c r="BP108" s="55" t="s">
        <v>155</v>
      </c>
      <c r="BQ108" s="55">
        <v>15</v>
      </c>
      <c r="BR108" s="55" t="s">
        <v>153</v>
      </c>
      <c r="BS108" s="55" t="s">
        <v>156</v>
      </c>
      <c r="BU108" s="55" t="s">
        <v>1466</v>
      </c>
      <c r="BV108" s="55" t="s">
        <v>1467</v>
      </c>
      <c r="BW108" s="55" t="s">
        <v>1467</v>
      </c>
      <c r="BX108" s="55" t="s">
        <v>1467</v>
      </c>
      <c r="BY108" s="55" t="s">
        <v>1468</v>
      </c>
      <c r="BZ108" s="55" t="s">
        <v>1469</v>
      </c>
      <c r="CA108" s="55" t="s">
        <v>1470</v>
      </c>
      <c r="CI108" s="55" t="s">
        <v>1442</v>
      </c>
      <c r="CJ108" s="55" t="s">
        <v>1443</v>
      </c>
      <c r="CK108" s="55" t="s">
        <v>1471</v>
      </c>
      <c r="CL108" s="55" t="s">
        <v>826</v>
      </c>
      <c r="CM108" s="55" t="s">
        <v>826</v>
      </c>
      <c r="CN108" s="55" t="s">
        <v>166</v>
      </c>
      <c r="CP108" s="55" t="s">
        <v>1472</v>
      </c>
      <c r="CQ108" s="55" t="s">
        <v>1473</v>
      </c>
      <c r="CR108" s="55" t="s">
        <v>1474</v>
      </c>
      <c r="CS108" s="55" t="s">
        <v>170</v>
      </c>
      <c r="CT108" s="55" t="s">
        <v>171</v>
      </c>
      <c r="CU108" s="55" t="s">
        <v>1448</v>
      </c>
      <c r="CV108" s="55" t="s">
        <v>1449</v>
      </c>
    </row>
    <row r="109" spans="1:100">
      <c r="A109" s="55" t="s">
        <v>1475</v>
      </c>
      <c r="B109" s="55" t="s">
        <v>1476</v>
      </c>
      <c r="C109" s="55" t="s">
        <v>135</v>
      </c>
      <c r="D109" s="55" t="b">
        <v>0</v>
      </c>
      <c r="E109" s="55" t="b">
        <v>0</v>
      </c>
      <c r="F109" s="55" t="s">
        <v>136</v>
      </c>
      <c r="G109" s="55" t="s">
        <v>1477</v>
      </c>
      <c r="H109" s="55" t="s">
        <v>138</v>
      </c>
      <c r="I109" s="55" t="s">
        <v>139</v>
      </c>
      <c r="J109" s="55" t="s">
        <v>151</v>
      </c>
      <c r="K109" s="55" t="b">
        <v>0</v>
      </c>
      <c r="L109" s="56">
        <v>45773.914664351847</v>
      </c>
      <c r="O109" s="55">
        <v>0</v>
      </c>
      <c r="P109" s="56">
        <v>44014.377060185187</v>
      </c>
      <c r="Q109" s="56">
        <v>45902.056921296287</v>
      </c>
      <c r="R109" s="57">
        <v>4</v>
      </c>
      <c r="S109" s="55" t="s">
        <v>140</v>
      </c>
      <c r="T109" s="57">
        <v>4096</v>
      </c>
      <c r="U109" s="55">
        <v>368</v>
      </c>
      <c r="V109" s="55">
        <v>3</v>
      </c>
      <c r="W109" s="55">
        <v>3</v>
      </c>
      <c r="X109" s="58">
        <v>512000</v>
      </c>
      <c r="Z109" s="55" t="s">
        <v>1326</v>
      </c>
      <c r="AA109" s="55" t="s">
        <v>142</v>
      </c>
      <c r="AC109" s="55" t="b">
        <v>1</v>
      </c>
      <c r="AD109" s="55" t="b">
        <v>1</v>
      </c>
      <c r="AE109" s="55" t="s">
        <v>1478</v>
      </c>
      <c r="AF109" s="55" t="s">
        <v>1479</v>
      </c>
      <c r="AG109" s="55" t="s">
        <v>1480</v>
      </c>
      <c r="AH109" s="55" t="s">
        <v>1481</v>
      </c>
      <c r="AN109" s="55">
        <v>1</v>
      </c>
      <c r="AO109" s="55">
        <v>16384</v>
      </c>
      <c r="AP109" s="55" t="s">
        <v>1482</v>
      </c>
      <c r="AQ109" s="55" t="s">
        <v>317</v>
      </c>
      <c r="AR109" s="55" t="s">
        <v>318</v>
      </c>
      <c r="AT109" s="55" t="b">
        <v>1</v>
      </c>
      <c r="AU109" s="55" t="s">
        <v>150</v>
      </c>
      <c r="AW109" s="55" t="s">
        <v>151</v>
      </c>
      <c r="AX109" s="55">
        <v>-1</v>
      </c>
      <c r="AY109" s="55">
        <v>-1</v>
      </c>
      <c r="BA109" s="55">
        <v>516187</v>
      </c>
      <c r="BB109" s="55">
        <v>516187</v>
      </c>
      <c r="BC109" s="55">
        <v>512000</v>
      </c>
      <c r="BD109" s="55" t="s">
        <v>152</v>
      </c>
      <c r="BE109" s="55" t="s">
        <v>153</v>
      </c>
      <c r="BF109" s="55" t="s">
        <v>154</v>
      </c>
      <c r="BI109" s="55" t="b">
        <v>0</v>
      </c>
      <c r="BJ109" s="55">
        <v>0</v>
      </c>
      <c r="BK109" s="55">
        <v>10000</v>
      </c>
      <c r="BL109" s="55" t="b">
        <v>0</v>
      </c>
      <c r="BM109" s="55" t="b">
        <v>0</v>
      </c>
      <c r="BO109" s="55" t="b">
        <v>0</v>
      </c>
      <c r="BP109" s="55" t="s">
        <v>155</v>
      </c>
      <c r="BQ109" s="55">
        <v>15</v>
      </c>
      <c r="BR109" s="55" t="s">
        <v>153</v>
      </c>
      <c r="BS109" s="55" t="s">
        <v>156</v>
      </c>
      <c r="BU109" s="55" t="s">
        <v>1483</v>
      </c>
      <c r="BV109" s="55" t="s">
        <v>1484</v>
      </c>
      <c r="BW109" s="55" t="s">
        <v>1484</v>
      </c>
      <c r="BX109" s="55" t="s">
        <v>1484</v>
      </c>
      <c r="BY109" s="55" t="s">
        <v>1387</v>
      </c>
      <c r="BZ109" s="55" t="s">
        <v>1485</v>
      </c>
      <c r="CA109" s="55" t="s">
        <v>1486</v>
      </c>
      <c r="CI109" s="55" t="s">
        <v>161</v>
      </c>
      <c r="CJ109" s="55" t="s">
        <v>1487</v>
      </c>
      <c r="CK109" s="55" t="s">
        <v>1488</v>
      </c>
      <c r="CL109" s="55" t="s">
        <v>1042</v>
      </c>
      <c r="CM109" s="55" t="s">
        <v>1042</v>
      </c>
      <c r="CN109" s="55" t="s">
        <v>166</v>
      </c>
      <c r="CP109" s="55" t="s">
        <v>1489</v>
      </c>
      <c r="CQ109" s="55" t="s">
        <v>1490</v>
      </c>
      <c r="CR109" s="55" t="s">
        <v>1491</v>
      </c>
      <c r="CS109" s="55" t="s">
        <v>170</v>
      </c>
      <c r="CT109" s="55" t="s">
        <v>171</v>
      </c>
      <c r="CU109" s="55" t="s">
        <v>172</v>
      </c>
      <c r="CV109" s="55" t="s">
        <v>173</v>
      </c>
    </row>
    <row r="110" spans="1:100">
      <c r="A110" s="55" t="s">
        <v>1492</v>
      </c>
      <c r="B110" s="55" t="s">
        <v>1493</v>
      </c>
      <c r="C110" s="55" t="s">
        <v>135</v>
      </c>
      <c r="D110" s="55" t="b">
        <v>0</v>
      </c>
      <c r="E110" s="55" t="b">
        <v>0</v>
      </c>
      <c r="F110" s="55" t="s">
        <v>136</v>
      </c>
      <c r="G110" s="55" t="s">
        <v>1494</v>
      </c>
      <c r="H110" s="55" t="s">
        <v>138</v>
      </c>
      <c r="I110" s="55" t="s">
        <v>139</v>
      </c>
      <c r="J110" s="55" t="s">
        <v>151</v>
      </c>
      <c r="K110" s="55" t="b">
        <v>0</v>
      </c>
      <c r="L110" s="56">
        <v>45804.510625000003</v>
      </c>
      <c r="O110" s="55">
        <v>0</v>
      </c>
      <c r="P110" s="56">
        <v>25568.791666666672</v>
      </c>
      <c r="Q110" s="56">
        <v>45902.246782407397</v>
      </c>
      <c r="R110" s="57">
        <v>8</v>
      </c>
      <c r="S110" s="55" t="s">
        <v>140</v>
      </c>
      <c r="T110" s="57">
        <v>8192</v>
      </c>
      <c r="U110" s="55">
        <v>491</v>
      </c>
      <c r="V110" s="55">
        <v>3</v>
      </c>
      <c r="W110" s="55">
        <v>7</v>
      </c>
      <c r="X110" s="58">
        <v>7749632</v>
      </c>
      <c r="Z110" s="55" t="s">
        <v>813</v>
      </c>
      <c r="AA110" s="55" t="s">
        <v>142</v>
      </c>
      <c r="AD110" s="55" t="b">
        <v>1</v>
      </c>
      <c r="AE110" s="55" t="s">
        <v>1495</v>
      </c>
      <c r="AF110" s="55" t="s">
        <v>1465</v>
      </c>
      <c r="AG110" s="55" t="s">
        <v>1496</v>
      </c>
      <c r="AH110" s="55" t="s">
        <v>1434</v>
      </c>
      <c r="AN110" s="55">
        <v>1</v>
      </c>
      <c r="AO110" s="55">
        <v>16384</v>
      </c>
      <c r="AP110" s="55" t="s">
        <v>1435</v>
      </c>
      <c r="AQ110" s="55" t="s">
        <v>1436</v>
      </c>
      <c r="AR110" s="55" t="s">
        <v>1437</v>
      </c>
      <c r="AT110" s="55" t="b">
        <v>1</v>
      </c>
      <c r="AU110" s="55" t="s">
        <v>150</v>
      </c>
      <c r="AW110" s="55" t="s">
        <v>151</v>
      </c>
      <c r="AX110" s="55">
        <v>-1</v>
      </c>
      <c r="AY110" s="55">
        <v>-1</v>
      </c>
      <c r="BA110" s="55">
        <v>7757932</v>
      </c>
      <c r="BB110" s="55">
        <v>7757932</v>
      </c>
      <c r="BC110" s="55">
        <v>7749632</v>
      </c>
      <c r="BD110" s="55" t="s">
        <v>152</v>
      </c>
      <c r="BE110" s="55" t="s">
        <v>153</v>
      </c>
      <c r="BF110" s="55" t="s">
        <v>154</v>
      </c>
      <c r="BI110" s="55" t="b">
        <v>0</v>
      </c>
      <c r="BJ110" s="55">
        <v>0</v>
      </c>
      <c r="BK110" s="55">
        <v>10000</v>
      </c>
      <c r="BL110" s="55" t="b">
        <v>0</v>
      </c>
      <c r="BM110" s="55" t="b">
        <v>0</v>
      </c>
      <c r="BO110" s="55" t="b">
        <v>0</v>
      </c>
      <c r="BP110" s="55" t="s">
        <v>155</v>
      </c>
      <c r="BQ110" s="55">
        <v>13</v>
      </c>
      <c r="BR110" s="55" t="s">
        <v>153</v>
      </c>
      <c r="BS110" s="55" t="s">
        <v>156</v>
      </c>
      <c r="BU110" s="55" t="s">
        <v>1497</v>
      </c>
      <c r="BV110" s="55" t="s">
        <v>1498</v>
      </c>
      <c r="BW110" s="55" t="s">
        <v>1498</v>
      </c>
      <c r="BX110" s="55" t="s">
        <v>1498</v>
      </c>
      <c r="BY110" s="55" t="s">
        <v>1499</v>
      </c>
      <c r="BZ110" s="55" t="s">
        <v>1500</v>
      </c>
      <c r="CA110" s="55" t="s">
        <v>1501</v>
      </c>
      <c r="CI110" s="55" t="s">
        <v>1442</v>
      </c>
      <c r="CJ110" s="55" t="s">
        <v>1443</v>
      </c>
      <c r="CK110" s="55" t="s">
        <v>1502</v>
      </c>
      <c r="CL110" s="55" t="s">
        <v>1503</v>
      </c>
      <c r="CM110" s="55" t="s">
        <v>1503</v>
      </c>
      <c r="CN110" s="55" t="s">
        <v>166</v>
      </c>
      <c r="CP110" s="55" t="s">
        <v>1504</v>
      </c>
      <c r="CQ110" s="55" t="s">
        <v>1505</v>
      </c>
      <c r="CR110" s="55" t="s">
        <v>1506</v>
      </c>
      <c r="CS110" s="55" t="s">
        <v>170</v>
      </c>
      <c r="CT110" s="55" t="s">
        <v>171</v>
      </c>
      <c r="CU110" s="55" t="s">
        <v>1448</v>
      </c>
      <c r="CV110" s="55" t="s">
        <v>1449</v>
      </c>
    </row>
    <row r="111" spans="1:100">
      <c r="A111" s="55" t="s">
        <v>1507</v>
      </c>
      <c r="B111" s="55" t="s">
        <v>1508</v>
      </c>
      <c r="C111" s="55" t="s">
        <v>135</v>
      </c>
      <c r="D111" s="55" t="b">
        <v>0</v>
      </c>
      <c r="E111" s="55" t="b">
        <v>0</v>
      </c>
      <c r="F111" s="55" t="s">
        <v>136</v>
      </c>
      <c r="G111" s="55" t="s">
        <v>1509</v>
      </c>
      <c r="H111" s="55" t="s">
        <v>138</v>
      </c>
      <c r="I111" s="55" t="s">
        <v>139</v>
      </c>
      <c r="J111" s="55" t="s">
        <v>136</v>
      </c>
      <c r="K111" s="55" t="b">
        <v>0</v>
      </c>
      <c r="L111" s="56">
        <v>45773.969525462962</v>
      </c>
      <c r="O111" s="55">
        <v>0</v>
      </c>
      <c r="P111" s="56">
        <v>25568.791666666672</v>
      </c>
      <c r="Q111" s="56">
        <v>45880.505949074082</v>
      </c>
      <c r="R111" s="57">
        <v>4</v>
      </c>
      <c r="S111" s="55" t="s">
        <v>140</v>
      </c>
      <c r="T111" s="57">
        <v>16384</v>
      </c>
      <c r="U111" s="55">
        <v>1146</v>
      </c>
      <c r="V111" s="55">
        <v>3</v>
      </c>
      <c r="W111" s="55">
        <v>3</v>
      </c>
      <c r="X111" s="58">
        <v>1150976</v>
      </c>
      <c r="Z111" s="55" t="s">
        <v>311</v>
      </c>
      <c r="AA111" s="55" t="s">
        <v>142</v>
      </c>
      <c r="AC111" s="55" t="b">
        <v>1</v>
      </c>
      <c r="AD111" s="55" t="b">
        <v>1</v>
      </c>
      <c r="AE111" s="55" t="s">
        <v>1510</v>
      </c>
      <c r="AF111" s="55" t="s">
        <v>1511</v>
      </c>
      <c r="AG111" s="55" t="s">
        <v>714</v>
      </c>
      <c r="AH111" s="55" t="s">
        <v>654</v>
      </c>
      <c r="AN111" s="55">
        <v>1</v>
      </c>
      <c r="AO111" s="55">
        <v>16384</v>
      </c>
      <c r="AP111" s="55" t="s">
        <v>416</v>
      </c>
      <c r="AQ111" s="55" t="s">
        <v>192</v>
      </c>
      <c r="AR111" s="55" t="s">
        <v>193</v>
      </c>
      <c r="AT111" s="55" t="b">
        <v>1</v>
      </c>
      <c r="AU111" s="55" t="s">
        <v>150</v>
      </c>
      <c r="AW111" s="55" t="s">
        <v>151</v>
      </c>
      <c r="AX111" s="55">
        <v>-1</v>
      </c>
      <c r="AY111" s="55">
        <v>-1</v>
      </c>
      <c r="BA111" s="55">
        <v>1167799</v>
      </c>
      <c r="BB111" s="55">
        <v>1167799</v>
      </c>
      <c r="BC111" s="55">
        <v>1150976</v>
      </c>
      <c r="BD111" s="55" t="s">
        <v>152</v>
      </c>
      <c r="BE111" s="55" t="s">
        <v>153</v>
      </c>
      <c r="BF111" s="55" t="s">
        <v>154</v>
      </c>
      <c r="BI111" s="55" t="b">
        <v>0</v>
      </c>
      <c r="BJ111" s="55">
        <v>0</v>
      </c>
      <c r="BK111" s="55">
        <v>10000</v>
      </c>
      <c r="BL111" s="55" t="b">
        <v>0</v>
      </c>
      <c r="BM111" s="55" t="b">
        <v>0</v>
      </c>
      <c r="BO111" s="55" t="b">
        <v>0</v>
      </c>
      <c r="BP111" s="55" t="s">
        <v>155</v>
      </c>
      <c r="BQ111" s="55">
        <v>19</v>
      </c>
      <c r="BR111" s="55" t="s">
        <v>153</v>
      </c>
      <c r="BS111" s="55" t="s">
        <v>156</v>
      </c>
      <c r="BU111" s="55" t="s">
        <v>1512</v>
      </c>
      <c r="BV111" s="55" t="s">
        <v>1513</v>
      </c>
      <c r="BW111" s="55" t="s">
        <v>1513</v>
      </c>
      <c r="BX111" s="55" t="s">
        <v>1513</v>
      </c>
      <c r="BY111" s="55" t="s">
        <v>1468</v>
      </c>
      <c r="BZ111" s="55" t="s">
        <v>1514</v>
      </c>
      <c r="CA111" s="55" t="s">
        <v>1515</v>
      </c>
      <c r="CB111" s="55" t="s">
        <v>1516</v>
      </c>
      <c r="CI111" s="55" t="s">
        <v>161</v>
      </c>
      <c r="CJ111" s="55" t="s">
        <v>323</v>
      </c>
      <c r="CK111" s="55" t="s">
        <v>446</v>
      </c>
      <c r="CL111" s="55" t="s">
        <v>826</v>
      </c>
      <c r="CM111" s="55" t="s">
        <v>826</v>
      </c>
      <c r="CN111" s="55" t="s">
        <v>166</v>
      </c>
      <c r="CP111" s="55" t="s">
        <v>1516</v>
      </c>
      <c r="CQ111" s="55" t="s">
        <v>1517</v>
      </c>
      <c r="CR111" s="55" t="s">
        <v>1518</v>
      </c>
      <c r="CS111" s="55" t="s">
        <v>170</v>
      </c>
      <c r="CT111" s="55" t="s">
        <v>171</v>
      </c>
      <c r="CU111" s="55" t="s">
        <v>172</v>
      </c>
      <c r="CV111" s="55" t="s">
        <v>173</v>
      </c>
    </row>
    <row r="112" spans="1:100">
      <c r="A112" s="55" t="s">
        <v>1519</v>
      </c>
      <c r="B112" s="55" t="s">
        <v>1520</v>
      </c>
      <c r="C112" s="55" t="s">
        <v>135</v>
      </c>
      <c r="D112" s="55" t="b">
        <v>0</v>
      </c>
      <c r="E112" s="55" t="b">
        <v>0</v>
      </c>
      <c r="F112" s="55" t="s">
        <v>136</v>
      </c>
      <c r="G112" s="55" t="s">
        <v>1521</v>
      </c>
      <c r="H112" s="55" t="s">
        <v>138</v>
      </c>
      <c r="I112" s="55" t="s">
        <v>139</v>
      </c>
      <c r="J112" s="55" t="s">
        <v>136</v>
      </c>
      <c r="K112" s="55" t="b">
        <v>0</v>
      </c>
      <c r="L112" s="56">
        <v>45773.935763888891</v>
      </c>
      <c r="O112" s="55">
        <v>0</v>
      </c>
      <c r="P112" s="56">
        <v>43924.431261574071</v>
      </c>
      <c r="Q112" s="56">
        <v>45898.665995370371</v>
      </c>
      <c r="R112" s="57">
        <v>8</v>
      </c>
      <c r="S112" s="55" t="s">
        <v>140</v>
      </c>
      <c r="T112" s="57">
        <v>16384</v>
      </c>
      <c r="U112" s="55">
        <v>655</v>
      </c>
      <c r="V112" s="55">
        <v>3</v>
      </c>
      <c r="W112" s="55">
        <v>3</v>
      </c>
      <c r="X112" s="58">
        <v>1024000</v>
      </c>
      <c r="Z112" s="55" t="s">
        <v>1326</v>
      </c>
      <c r="AA112" s="55" t="s">
        <v>142</v>
      </c>
      <c r="AC112" s="55" t="b">
        <v>1</v>
      </c>
      <c r="AD112" s="55" t="b">
        <v>1</v>
      </c>
      <c r="AE112" s="55" t="s">
        <v>1522</v>
      </c>
      <c r="AF112" s="55" t="s">
        <v>1479</v>
      </c>
      <c r="AG112" s="55" t="s">
        <v>1480</v>
      </c>
      <c r="AH112" s="55" t="s">
        <v>1523</v>
      </c>
      <c r="AN112" s="55">
        <v>1</v>
      </c>
      <c r="AO112" s="55">
        <v>16384</v>
      </c>
      <c r="AP112" s="55" t="s">
        <v>1482</v>
      </c>
      <c r="AQ112" s="55" t="s">
        <v>317</v>
      </c>
      <c r="AR112" s="55" t="s">
        <v>318</v>
      </c>
      <c r="AT112" s="55" t="b">
        <v>1</v>
      </c>
      <c r="AU112" s="55" t="s">
        <v>150</v>
      </c>
      <c r="AW112" s="55" t="s">
        <v>151</v>
      </c>
      <c r="AX112" s="55">
        <v>-1</v>
      </c>
      <c r="AY112" s="55">
        <v>-1</v>
      </c>
      <c r="BA112" s="55">
        <v>1040555</v>
      </c>
      <c r="BB112" s="55">
        <v>1040555</v>
      </c>
      <c r="BC112" s="55">
        <v>1024000</v>
      </c>
      <c r="BD112" s="55" t="s">
        <v>152</v>
      </c>
      <c r="BE112" s="55" t="s">
        <v>153</v>
      </c>
      <c r="BF112" s="55" t="s">
        <v>154</v>
      </c>
      <c r="BI112" s="55" t="b">
        <v>0</v>
      </c>
      <c r="BJ112" s="55">
        <v>0</v>
      </c>
      <c r="BK112" s="55">
        <v>10000</v>
      </c>
      <c r="BL112" s="55" t="b">
        <v>0</v>
      </c>
      <c r="BM112" s="55" t="b">
        <v>0</v>
      </c>
      <c r="BO112" s="55" t="b">
        <v>0</v>
      </c>
      <c r="BP112" s="55" t="s">
        <v>155</v>
      </c>
      <c r="BQ112" s="55">
        <v>15</v>
      </c>
      <c r="BR112" s="55" t="s">
        <v>153</v>
      </c>
      <c r="BS112" s="55" t="s">
        <v>156</v>
      </c>
      <c r="BU112" s="55" t="s">
        <v>1524</v>
      </c>
      <c r="BV112" s="55" t="s">
        <v>1525</v>
      </c>
      <c r="BW112" s="55" t="s">
        <v>1525</v>
      </c>
      <c r="BX112" s="55" t="s">
        <v>1525</v>
      </c>
      <c r="BY112" s="55" t="s">
        <v>1526</v>
      </c>
      <c r="BZ112" s="55" t="s">
        <v>1527</v>
      </c>
      <c r="CA112" s="55" t="s">
        <v>1528</v>
      </c>
      <c r="CI112" s="55" t="s">
        <v>161</v>
      </c>
      <c r="CJ112" s="55" t="s">
        <v>1487</v>
      </c>
      <c r="CK112" s="55" t="s">
        <v>1529</v>
      </c>
      <c r="CL112" s="55" t="s">
        <v>1042</v>
      </c>
      <c r="CM112" s="55" t="s">
        <v>1042</v>
      </c>
      <c r="CN112" s="55" t="s">
        <v>166</v>
      </c>
      <c r="CP112" s="55" t="s">
        <v>1530</v>
      </c>
      <c r="CQ112" s="55" t="s">
        <v>1531</v>
      </c>
      <c r="CR112" s="55" t="s">
        <v>1532</v>
      </c>
      <c r="CS112" s="55" t="s">
        <v>170</v>
      </c>
      <c r="CT112" s="55" t="s">
        <v>171</v>
      </c>
      <c r="CU112" s="55" t="s">
        <v>172</v>
      </c>
      <c r="CV112" s="55" t="s">
        <v>173</v>
      </c>
    </row>
    <row r="113" spans="1:100">
      <c r="A113" s="55" t="s">
        <v>1533</v>
      </c>
      <c r="B113" s="55" t="s">
        <v>1534</v>
      </c>
      <c r="C113" s="55" t="s">
        <v>135</v>
      </c>
      <c r="D113" s="55" t="b">
        <v>0</v>
      </c>
      <c r="E113" s="55" t="b">
        <v>0</v>
      </c>
      <c r="F113" s="55" t="s">
        <v>136</v>
      </c>
      <c r="G113" s="55" t="s">
        <v>1535</v>
      </c>
      <c r="H113" s="55" t="s">
        <v>138</v>
      </c>
      <c r="I113" s="55" t="s">
        <v>139</v>
      </c>
      <c r="J113" s="55" t="s">
        <v>136</v>
      </c>
      <c r="K113" s="55" t="b">
        <v>0</v>
      </c>
      <c r="L113" s="56">
        <v>45638.392777777779</v>
      </c>
      <c r="O113" s="55">
        <v>0</v>
      </c>
      <c r="P113" s="56">
        <v>25568.791666666672</v>
      </c>
      <c r="Q113" s="56">
        <v>45729.687719907408</v>
      </c>
      <c r="R113" s="57">
        <v>8</v>
      </c>
      <c r="S113" s="55" t="s">
        <v>140</v>
      </c>
      <c r="T113" s="57">
        <v>16384</v>
      </c>
      <c r="U113" s="55">
        <v>1310</v>
      </c>
      <c r="V113" s="55">
        <v>3</v>
      </c>
      <c r="W113" s="55">
        <v>3</v>
      </c>
      <c r="X113" s="58">
        <v>1024000</v>
      </c>
      <c r="Z113" s="55" t="s">
        <v>311</v>
      </c>
      <c r="AA113" s="55" t="s">
        <v>142</v>
      </c>
      <c r="AD113" s="55" t="b">
        <v>1</v>
      </c>
      <c r="AE113" s="55" t="s">
        <v>1536</v>
      </c>
      <c r="AF113" s="55" t="s">
        <v>1537</v>
      </c>
      <c r="AG113" s="55" t="s">
        <v>1538</v>
      </c>
      <c r="AH113" s="55" t="s">
        <v>1539</v>
      </c>
      <c r="AN113" s="55">
        <v>1</v>
      </c>
      <c r="AO113" s="55">
        <v>16384</v>
      </c>
      <c r="AP113" s="55" t="s">
        <v>1540</v>
      </c>
      <c r="AQ113" s="55" t="s">
        <v>1541</v>
      </c>
      <c r="AR113" s="55" t="s">
        <v>1542</v>
      </c>
      <c r="AT113" s="55" t="b">
        <v>1</v>
      </c>
      <c r="AU113" s="55" t="s">
        <v>150</v>
      </c>
      <c r="AW113" s="55" t="s">
        <v>151</v>
      </c>
      <c r="AX113" s="55">
        <v>-1</v>
      </c>
      <c r="AY113" s="55">
        <v>-1</v>
      </c>
      <c r="BA113" s="55">
        <v>1040986</v>
      </c>
      <c r="BB113" s="55">
        <v>1040986</v>
      </c>
      <c r="BC113" s="55">
        <v>1024000</v>
      </c>
      <c r="BD113" s="55" t="s">
        <v>152</v>
      </c>
      <c r="BE113" s="55" t="s">
        <v>153</v>
      </c>
      <c r="BF113" s="55" t="s">
        <v>154</v>
      </c>
      <c r="BI113" s="55" t="b">
        <v>0</v>
      </c>
      <c r="BJ113" s="55">
        <v>0</v>
      </c>
      <c r="BK113" s="55">
        <v>10000</v>
      </c>
      <c r="BL113" s="55" t="b">
        <v>0</v>
      </c>
      <c r="BM113" s="55" t="b">
        <v>0</v>
      </c>
      <c r="BO113" s="55" t="b">
        <v>0</v>
      </c>
      <c r="BP113" s="55" t="s">
        <v>155</v>
      </c>
      <c r="BQ113" s="55">
        <v>15</v>
      </c>
      <c r="BR113" s="55" t="s">
        <v>153</v>
      </c>
      <c r="BS113" s="55" t="s">
        <v>156</v>
      </c>
      <c r="BU113" s="55" t="s">
        <v>1543</v>
      </c>
      <c r="BV113" s="55" t="s">
        <v>1544</v>
      </c>
      <c r="BW113" s="55" t="s">
        <v>1544</v>
      </c>
      <c r="BX113" s="55" t="s">
        <v>1544</v>
      </c>
      <c r="BZ113" s="55" t="s">
        <v>1545</v>
      </c>
      <c r="CA113" s="55" t="s">
        <v>1546</v>
      </c>
      <c r="CI113" s="55" t="s">
        <v>1547</v>
      </c>
      <c r="CJ113" s="55" t="s">
        <v>1548</v>
      </c>
      <c r="CK113" s="55" t="s">
        <v>1549</v>
      </c>
      <c r="CL113" s="55" t="s">
        <v>1042</v>
      </c>
      <c r="CM113" s="55" t="s">
        <v>1042</v>
      </c>
      <c r="CN113" s="55" t="s">
        <v>166</v>
      </c>
      <c r="CP113" s="55" t="s">
        <v>1550</v>
      </c>
      <c r="CQ113" s="55" t="s">
        <v>1551</v>
      </c>
      <c r="CR113" s="55" t="s">
        <v>1552</v>
      </c>
      <c r="CS113" s="55" t="s">
        <v>170</v>
      </c>
      <c r="CT113" s="55" t="s">
        <v>171</v>
      </c>
      <c r="CU113" s="55" t="s">
        <v>1553</v>
      </c>
      <c r="CV113" s="55" t="s">
        <v>1554</v>
      </c>
    </row>
    <row r="114" spans="1:100">
      <c r="A114" s="55" t="s">
        <v>1555</v>
      </c>
      <c r="B114" s="55" t="s">
        <v>1556</v>
      </c>
      <c r="C114" s="55" t="s">
        <v>135</v>
      </c>
      <c r="D114" s="55" t="b">
        <v>0</v>
      </c>
      <c r="E114" s="55" t="b">
        <v>0</v>
      </c>
      <c r="F114" s="55" t="s">
        <v>136</v>
      </c>
      <c r="G114" s="55" t="s">
        <v>1557</v>
      </c>
      <c r="H114" s="55" t="s">
        <v>138</v>
      </c>
      <c r="I114" s="55" t="s">
        <v>139</v>
      </c>
      <c r="J114" s="55" t="s">
        <v>151</v>
      </c>
      <c r="K114" s="55" t="b">
        <v>0</v>
      </c>
      <c r="L114" s="56">
        <v>45775.902916666673</v>
      </c>
      <c r="O114" s="55">
        <v>0</v>
      </c>
      <c r="P114" s="56">
        <v>44040.939571759263</v>
      </c>
      <c r="Q114" s="56">
        <v>45889.635127314818</v>
      </c>
      <c r="R114" s="57">
        <v>8</v>
      </c>
      <c r="S114" s="55" t="s">
        <v>140</v>
      </c>
      <c r="T114" s="57">
        <v>16384</v>
      </c>
      <c r="U114" s="55">
        <v>1146</v>
      </c>
      <c r="V114" s="55">
        <v>3</v>
      </c>
      <c r="W114" s="55">
        <v>2</v>
      </c>
      <c r="X114" s="58">
        <v>1079296</v>
      </c>
      <c r="Z114" s="55" t="s">
        <v>832</v>
      </c>
      <c r="AA114" s="55" t="s">
        <v>142</v>
      </c>
      <c r="AD114" s="55" t="b">
        <v>1</v>
      </c>
      <c r="AE114" s="55" t="s">
        <v>1558</v>
      </c>
      <c r="AF114" s="55" t="s">
        <v>1559</v>
      </c>
      <c r="AG114" s="55" t="s">
        <v>1328</v>
      </c>
      <c r="AH114" s="55" t="s">
        <v>1560</v>
      </c>
      <c r="AN114" s="55">
        <v>1</v>
      </c>
      <c r="AO114" s="55">
        <v>16384</v>
      </c>
      <c r="AP114" s="55" t="s">
        <v>1331</v>
      </c>
      <c r="AQ114" s="55" t="s">
        <v>317</v>
      </c>
      <c r="AR114" s="55" t="s">
        <v>318</v>
      </c>
      <c r="AT114" s="55" t="b">
        <v>1</v>
      </c>
      <c r="AU114" s="55" t="s">
        <v>150</v>
      </c>
      <c r="AW114" s="55" t="s">
        <v>151</v>
      </c>
      <c r="AX114" s="55">
        <v>-1</v>
      </c>
      <c r="AY114" s="55">
        <v>-1</v>
      </c>
      <c r="BA114" s="55">
        <v>1095787</v>
      </c>
      <c r="BB114" s="55">
        <v>1095787</v>
      </c>
      <c r="BC114" s="55">
        <v>1079296</v>
      </c>
      <c r="BD114" s="55" t="s">
        <v>152</v>
      </c>
      <c r="BE114" s="55" t="s">
        <v>153</v>
      </c>
      <c r="BF114" s="55" t="s">
        <v>154</v>
      </c>
      <c r="BI114" s="55" t="b">
        <v>0</v>
      </c>
      <c r="BJ114" s="55">
        <v>0</v>
      </c>
      <c r="BK114" s="55">
        <v>10000</v>
      </c>
      <c r="BL114" s="55" t="b">
        <v>0</v>
      </c>
      <c r="BM114" s="55" t="b">
        <v>0</v>
      </c>
      <c r="BO114" s="55" t="b">
        <v>0</v>
      </c>
      <c r="BP114" s="55" t="s">
        <v>155</v>
      </c>
      <c r="BQ114" s="55">
        <v>8</v>
      </c>
      <c r="BR114" s="55" t="s">
        <v>153</v>
      </c>
      <c r="BS114" s="55" t="s">
        <v>156</v>
      </c>
      <c r="BU114" s="55" t="s">
        <v>1561</v>
      </c>
      <c r="BV114" s="55" t="s">
        <v>1562</v>
      </c>
      <c r="BW114" s="55" t="s">
        <v>1562</v>
      </c>
      <c r="BX114" s="55" t="s">
        <v>1562</v>
      </c>
      <c r="BZ114" s="55" t="s">
        <v>1563</v>
      </c>
      <c r="CA114" s="55" t="s">
        <v>1564</v>
      </c>
      <c r="CI114" s="55" t="s">
        <v>161</v>
      </c>
      <c r="CJ114" s="55" t="s">
        <v>1340</v>
      </c>
      <c r="CK114" s="55" t="s">
        <v>1565</v>
      </c>
      <c r="CL114" s="55" t="s">
        <v>1566</v>
      </c>
      <c r="CM114" s="55" t="s">
        <v>1373</v>
      </c>
      <c r="CN114" s="55" t="s">
        <v>166</v>
      </c>
      <c r="CP114" s="55" t="s">
        <v>1567</v>
      </c>
      <c r="CQ114" s="55" t="s">
        <v>1568</v>
      </c>
      <c r="CR114" s="55" t="s">
        <v>1569</v>
      </c>
      <c r="CS114" s="55" t="s">
        <v>170</v>
      </c>
      <c r="CT114" s="55" t="s">
        <v>171</v>
      </c>
      <c r="CU114" s="55" t="s">
        <v>172</v>
      </c>
      <c r="CV114" s="55" t="s">
        <v>173</v>
      </c>
    </row>
    <row r="115" spans="1:100">
      <c r="A115" s="55" t="s">
        <v>1570</v>
      </c>
      <c r="B115" s="55" t="s">
        <v>1571</v>
      </c>
      <c r="C115" s="55" t="s">
        <v>135</v>
      </c>
      <c r="D115" s="55" t="b">
        <v>0</v>
      </c>
      <c r="E115" s="55" t="b">
        <v>0</v>
      </c>
      <c r="F115" s="55" t="s">
        <v>136</v>
      </c>
      <c r="G115" s="55" t="s">
        <v>1572</v>
      </c>
      <c r="H115" s="55" t="s">
        <v>138</v>
      </c>
      <c r="I115" s="55" t="s">
        <v>139</v>
      </c>
      <c r="J115" s="55" t="s">
        <v>136</v>
      </c>
      <c r="K115" s="55" t="b">
        <v>0</v>
      </c>
      <c r="L115" s="56">
        <v>45776.533101851863</v>
      </c>
      <c r="O115" s="55">
        <v>0</v>
      </c>
      <c r="P115" s="56">
        <v>44036.69568287037</v>
      </c>
      <c r="Q115" s="56">
        <v>45893.610636574071</v>
      </c>
      <c r="R115" s="57">
        <v>2</v>
      </c>
      <c r="S115" s="55" t="s">
        <v>140</v>
      </c>
      <c r="T115" s="57">
        <v>8192</v>
      </c>
      <c r="U115" s="55">
        <v>1228</v>
      </c>
      <c r="V115" s="55">
        <v>3</v>
      </c>
      <c r="W115" s="55">
        <v>3</v>
      </c>
      <c r="X115" s="58">
        <v>225280</v>
      </c>
      <c r="Z115" s="55" t="s">
        <v>1326</v>
      </c>
      <c r="AA115" s="55" t="s">
        <v>142</v>
      </c>
      <c r="AC115" s="55" t="b">
        <v>1</v>
      </c>
      <c r="AD115" s="55" t="b">
        <v>1</v>
      </c>
      <c r="AE115" s="55" t="s">
        <v>1573</v>
      </c>
      <c r="AF115" s="55" t="s">
        <v>1328</v>
      </c>
      <c r="AG115" s="55" t="s">
        <v>1329</v>
      </c>
      <c r="AH115" s="55" t="s">
        <v>1330</v>
      </c>
      <c r="AN115" s="55">
        <v>1</v>
      </c>
      <c r="AO115" s="55">
        <v>16384</v>
      </c>
      <c r="AP115" s="55" t="s">
        <v>1331</v>
      </c>
      <c r="AQ115" s="55" t="s">
        <v>317</v>
      </c>
      <c r="AR115" s="55" t="s">
        <v>318</v>
      </c>
      <c r="AT115" s="55" t="b">
        <v>1</v>
      </c>
      <c r="AU115" s="55" t="s">
        <v>150</v>
      </c>
      <c r="AW115" s="55" t="s">
        <v>151</v>
      </c>
      <c r="AX115" s="55">
        <v>-1</v>
      </c>
      <c r="AY115" s="55">
        <v>-1</v>
      </c>
      <c r="BA115" s="55">
        <v>233595</v>
      </c>
      <c r="BB115" s="55">
        <v>233595</v>
      </c>
      <c r="BC115" s="55">
        <v>225280</v>
      </c>
      <c r="BD115" s="55" t="s">
        <v>152</v>
      </c>
      <c r="BE115" s="55" t="s">
        <v>153</v>
      </c>
      <c r="BF115" s="55" t="s">
        <v>154</v>
      </c>
      <c r="BI115" s="55" t="b">
        <v>0</v>
      </c>
      <c r="BJ115" s="55">
        <v>0</v>
      </c>
      <c r="BK115" s="55">
        <v>10000</v>
      </c>
      <c r="BL115" s="55" t="b">
        <v>0</v>
      </c>
      <c r="BM115" s="55" t="b">
        <v>0</v>
      </c>
      <c r="BO115" s="55" t="b">
        <v>0</v>
      </c>
      <c r="BP115" s="55" t="s">
        <v>155</v>
      </c>
      <c r="BQ115" s="55">
        <v>15</v>
      </c>
      <c r="BR115" s="55" t="s">
        <v>153</v>
      </c>
      <c r="BS115" s="55" t="s">
        <v>156</v>
      </c>
      <c r="BU115" s="55" t="s">
        <v>1574</v>
      </c>
      <c r="BV115" s="55" t="s">
        <v>1575</v>
      </c>
      <c r="BW115" s="55" t="s">
        <v>1575</v>
      </c>
      <c r="BX115" s="55" t="s">
        <v>1575</v>
      </c>
      <c r="BY115" s="55" t="s">
        <v>1576</v>
      </c>
      <c r="BZ115" s="55" t="s">
        <v>1577</v>
      </c>
      <c r="CA115" s="55" t="s">
        <v>1578</v>
      </c>
      <c r="CB115" s="55" t="s">
        <v>1579</v>
      </c>
      <c r="CI115" s="55" t="s">
        <v>161</v>
      </c>
      <c r="CJ115" s="55" t="s">
        <v>1340</v>
      </c>
      <c r="CK115" s="55" t="s">
        <v>1341</v>
      </c>
      <c r="CL115" s="55" t="s">
        <v>1042</v>
      </c>
      <c r="CM115" s="55" t="s">
        <v>213</v>
      </c>
      <c r="CN115" s="55" t="s">
        <v>166</v>
      </c>
      <c r="CP115" s="55" t="s">
        <v>1579</v>
      </c>
      <c r="CQ115" s="55" t="s">
        <v>1580</v>
      </c>
      <c r="CR115" s="55" t="s">
        <v>1581</v>
      </c>
      <c r="CS115" s="55" t="s">
        <v>170</v>
      </c>
      <c r="CT115" s="55" t="s">
        <v>171</v>
      </c>
      <c r="CU115" s="55" t="s">
        <v>172</v>
      </c>
      <c r="CV115" s="55" t="s">
        <v>173</v>
      </c>
    </row>
    <row r="116" spans="1:100">
      <c r="A116" s="55" t="s">
        <v>1582</v>
      </c>
      <c r="B116" s="55" t="s">
        <v>1583</v>
      </c>
      <c r="C116" s="55" t="s">
        <v>135</v>
      </c>
      <c r="D116" s="55" t="b">
        <v>0</v>
      </c>
      <c r="E116" s="55" t="b">
        <v>0</v>
      </c>
      <c r="F116" s="55" t="s">
        <v>136</v>
      </c>
      <c r="G116" s="55" t="s">
        <v>1584</v>
      </c>
      <c r="H116" s="55" t="s">
        <v>138</v>
      </c>
      <c r="I116" s="55" t="s">
        <v>139</v>
      </c>
      <c r="J116" s="55" t="s">
        <v>136</v>
      </c>
      <c r="K116" s="55" t="b">
        <v>0</v>
      </c>
      <c r="L116" s="56">
        <v>45775.411712962959</v>
      </c>
      <c r="O116" s="55">
        <v>0</v>
      </c>
      <c r="P116" s="56">
        <v>44047.472002314818</v>
      </c>
      <c r="Q116" s="56">
        <v>45889.647789351853</v>
      </c>
      <c r="R116" s="57">
        <v>4</v>
      </c>
      <c r="S116" s="55" t="s">
        <v>140</v>
      </c>
      <c r="T116" s="57">
        <v>8192</v>
      </c>
      <c r="U116" s="55">
        <v>983</v>
      </c>
      <c r="V116" s="55">
        <v>3</v>
      </c>
      <c r="W116" s="55">
        <v>1</v>
      </c>
      <c r="X116" s="58">
        <v>153600</v>
      </c>
      <c r="Z116" s="55" t="s">
        <v>1326</v>
      </c>
      <c r="AA116" s="55" t="s">
        <v>142</v>
      </c>
      <c r="AD116" s="55" t="b">
        <v>1</v>
      </c>
      <c r="AE116" s="55" t="s">
        <v>1585</v>
      </c>
      <c r="AF116" s="55" t="s">
        <v>1586</v>
      </c>
      <c r="AG116" s="55" t="s">
        <v>1587</v>
      </c>
      <c r="AH116" s="55" t="s">
        <v>1588</v>
      </c>
      <c r="AN116" s="55">
        <v>1</v>
      </c>
      <c r="AO116" s="55">
        <v>16384</v>
      </c>
      <c r="AP116" s="55" t="s">
        <v>1331</v>
      </c>
      <c r="AQ116" s="55" t="s">
        <v>317</v>
      </c>
      <c r="AR116" s="55" t="s">
        <v>318</v>
      </c>
      <c r="AT116" s="55" t="b">
        <v>1</v>
      </c>
      <c r="AU116" s="55" t="s">
        <v>150</v>
      </c>
      <c r="AW116" s="55" t="s">
        <v>151</v>
      </c>
      <c r="AX116" s="55">
        <v>-1</v>
      </c>
      <c r="AY116" s="55">
        <v>-1</v>
      </c>
      <c r="BA116" s="55">
        <v>161921</v>
      </c>
      <c r="BB116" s="55">
        <v>161921</v>
      </c>
      <c r="BC116" s="55">
        <v>153600</v>
      </c>
      <c r="BD116" s="55" t="s">
        <v>152</v>
      </c>
      <c r="BE116" s="55" t="s">
        <v>153</v>
      </c>
      <c r="BF116" s="55" t="s">
        <v>154</v>
      </c>
      <c r="BI116" s="55" t="b">
        <v>0</v>
      </c>
      <c r="BJ116" s="55">
        <v>0</v>
      </c>
      <c r="BK116" s="55">
        <v>10000</v>
      </c>
      <c r="BL116" s="55" t="b">
        <v>0</v>
      </c>
      <c r="BM116" s="55" t="b">
        <v>0</v>
      </c>
      <c r="BO116" s="55" t="b">
        <v>0</v>
      </c>
      <c r="BP116" s="55" t="s">
        <v>155</v>
      </c>
      <c r="BQ116" s="55">
        <v>15</v>
      </c>
      <c r="BR116" s="55" t="s">
        <v>153</v>
      </c>
      <c r="BS116" s="55" t="s">
        <v>156</v>
      </c>
      <c r="BU116" s="55" t="s">
        <v>1589</v>
      </c>
      <c r="BV116" s="55" t="s">
        <v>1590</v>
      </c>
      <c r="BW116" s="55" t="s">
        <v>1590</v>
      </c>
      <c r="BX116" s="55" t="s">
        <v>1590</v>
      </c>
      <c r="BY116" s="55" t="s">
        <v>1591</v>
      </c>
      <c r="BZ116" s="55" t="s">
        <v>1592</v>
      </c>
      <c r="CA116" s="55" t="s">
        <v>1593</v>
      </c>
      <c r="CI116" s="55" t="s">
        <v>161</v>
      </c>
      <c r="CJ116" s="55" t="s">
        <v>1340</v>
      </c>
      <c r="CK116" s="55" t="s">
        <v>1594</v>
      </c>
      <c r="CL116" s="55" t="s">
        <v>1115</v>
      </c>
      <c r="CM116" s="55" t="s">
        <v>396</v>
      </c>
      <c r="CN116" s="55" t="s">
        <v>166</v>
      </c>
      <c r="CP116" s="55" t="s">
        <v>1595</v>
      </c>
      <c r="CQ116" s="55" t="s">
        <v>1596</v>
      </c>
      <c r="CR116" s="55" t="s">
        <v>1597</v>
      </c>
      <c r="CS116" s="55" t="s">
        <v>170</v>
      </c>
      <c r="CT116" s="55" t="s">
        <v>171</v>
      </c>
      <c r="CU116" s="55" t="s">
        <v>172</v>
      </c>
      <c r="CV116" s="55" t="s">
        <v>173</v>
      </c>
    </row>
    <row r="117" spans="1:100">
      <c r="A117" s="55" t="s">
        <v>1598</v>
      </c>
      <c r="B117" s="55" t="s">
        <v>1599</v>
      </c>
      <c r="C117" s="55" t="s">
        <v>135</v>
      </c>
      <c r="D117" s="55" t="b">
        <v>0</v>
      </c>
      <c r="E117" s="55" t="b">
        <v>0</v>
      </c>
      <c r="F117" s="55" t="s">
        <v>136</v>
      </c>
      <c r="G117" s="55" t="s">
        <v>1600</v>
      </c>
      <c r="H117" s="55" t="s">
        <v>138</v>
      </c>
      <c r="I117" s="55" t="s">
        <v>139</v>
      </c>
      <c r="J117" s="55" t="s">
        <v>136</v>
      </c>
      <c r="K117" s="55" t="b">
        <v>0</v>
      </c>
      <c r="L117" s="56">
        <v>45775.903379629628</v>
      </c>
      <c r="O117" s="55">
        <v>0</v>
      </c>
      <c r="P117" s="56">
        <v>44126.699386574073</v>
      </c>
      <c r="Q117" s="56">
        <v>45899.355833333328</v>
      </c>
      <c r="R117" s="57">
        <v>8</v>
      </c>
      <c r="S117" s="55" t="s">
        <v>140</v>
      </c>
      <c r="T117" s="57">
        <v>16384</v>
      </c>
      <c r="U117" s="55">
        <v>1310</v>
      </c>
      <c r="V117" s="55">
        <v>3</v>
      </c>
      <c r="W117" s="55">
        <v>2</v>
      </c>
      <c r="X117" s="58">
        <v>1079296</v>
      </c>
      <c r="Z117" s="55" t="s">
        <v>832</v>
      </c>
      <c r="AA117" s="55" t="s">
        <v>142</v>
      </c>
      <c r="AD117" s="55" t="b">
        <v>1</v>
      </c>
      <c r="AE117" s="55" t="s">
        <v>1601</v>
      </c>
      <c r="AF117" s="55" t="s">
        <v>1560</v>
      </c>
      <c r="AG117" s="55" t="s">
        <v>1328</v>
      </c>
      <c r="AH117" s="55" t="s">
        <v>1559</v>
      </c>
      <c r="AN117" s="55">
        <v>1</v>
      </c>
      <c r="AO117" s="55">
        <v>16384</v>
      </c>
      <c r="AP117" s="55" t="s">
        <v>1331</v>
      </c>
      <c r="AQ117" s="55" t="s">
        <v>317</v>
      </c>
      <c r="AR117" s="55" t="s">
        <v>318</v>
      </c>
      <c r="AT117" s="55" t="b">
        <v>1</v>
      </c>
      <c r="AU117" s="55" t="s">
        <v>150</v>
      </c>
      <c r="AW117" s="55" t="s">
        <v>151</v>
      </c>
      <c r="AX117" s="55">
        <v>-1</v>
      </c>
      <c r="AY117" s="55">
        <v>-1</v>
      </c>
      <c r="BA117" s="55">
        <v>1095787</v>
      </c>
      <c r="BB117" s="55">
        <v>1095787</v>
      </c>
      <c r="BC117" s="55">
        <v>1079296</v>
      </c>
      <c r="BD117" s="55" t="s">
        <v>152</v>
      </c>
      <c r="BE117" s="55" t="s">
        <v>153</v>
      </c>
      <c r="BF117" s="55" t="s">
        <v>154</v>
      </c>
      <c r="BI117" s="55" t="b">
        <v>0</v>
      </c>
      <c r="BJ117" s="55">
        <v>0</v>
      </c>
      <c r="BK117" s="55">
        <v>10000</v>
      </c>
      <c r="BL117" s="55" t="b">
        <v>0</v>
      </c>
      <c r="BM117" s="55" t="b">
        <v>0</v>
      </c>
      <c r="BO117" s="55" t="b">
        <v>0</v>
      </c>
      <c r="BP117" s="55" t="s">
        <v>155</v>
      </c>
      <c r="BQ117" s="55">
        <v>8</v>
      </c>
      <c r="BR117" s="55" t="s">
        <v>153</v>
      </c>
      <c r="BS117" s="55" t="s">
        <v>156</v>
      </c>
      <c r="BU117" s="55" t="s">
        <v>1602</v>
      </c>
      <c r="BV117" s="55" t="s">
        <v>1603</v>
      </c>
      <c r="BW117" s="55" t="s">
        <v>1603</v>
      </c>
      <c r="BX117" s="55" t="s">
        <v>1603</v>
      </c>
      <c r="BZ117" s="55" t="s">
        <v>1604</v>
      </c>
      <c r="CA117" s="55" t="s">
        <v>1605</v>
      </c>
      <c r="CI117" s="55" t="s">
        <v>161</v>
      </c>
      <c r="CJ117" s="55" t="s">
        <v>1340</v>
      </c>
      <c r="CK117" s="55" t="s">
        <v>1565</v>
      </c>
      <c r="CL117" s="55" t="s">
        <v>1566</v>
      </c>
      <c r="CM117" s="55" t="s">
        <v>1373</v>
      </c>
      <c r="CN117" s="55" t="s">
        <v>166</v>
      </c>
      <c r="CP117" s="55" t="s">
        <v>1606</v>
      </c>
      <c r="CQ117" s="55" t="s">
        <v>1607</v>
      </c>
      <c r="CR117" s="55" t="s">
        <v>1608</v>
      </c>
      <c r="CS117" s="55" t="s">
        <v>170</v>
      </c>
      <c r="CT117" s="55" t="s">
        <v>171</v>
      </c>
      <c r="CU117" s="55" t="s">
        <v>172</v>
      </c>
      <c r="CV117" s="55" t="s">
        <v>173</v>
      </c>
    </row>
    <row r="118" spans="1:100">
      <c r="A118" s="55" t="s">
        <v>1609</v>
      </c>
      <c r="B118" s="55" t="s">
        <v>1610</v>
      </c>
      <c r="C118" s="55" t="s">
        <v>135</v>
      </c>
      <c r="D118" s="55" t="b">
        <v>0</v>
      </c>
      <c r="E118" s="55" t="b">
        <v>0</v>
      </c>
      <c r="F118" s="55" t="s">
        <v>136</v>
      </c>
      <c r="G118" s="55" t="s">
        <v>1611</v>
      </c>
      <c r="H118" s="55" t="s">
        <v>138</v>
      </c>
      <c r="I118" s="55" t="s">
        <v>139</v>
      </c>
      <c r="J118" s="55" t="s">
        <v>136</v>
      </c>
      <c r="K118" s="55" t="b">
        <v>0</v>
      </c>
      <c r="L118" s="56">
        <v>45775.541817129633</v>
      </c>
      <c r="O118" s="55">
        <v>0</v>
      </c>
      <c r="P118" s="56">
        <v>44191.633773148147</v>
      </c>
      <c r="Q118" s="56">
        <v>45775.054467592592</v>
      </c>
      <c r="R118" s="57">
        <v>8</v>
      </c>
      <c r="T118" s="57">
        <v>32768</v>
      </c>
      <c r="U118" s="55">
        <v>3604</v>
      </c>
      <c r="V118" s="55">
        <v>3</v>
      </c>
      <c r="W118" s="55">
        <v>5</v>
      </c>
      <c r="X118" s="58">
        <v>1433600</v>
      </c>
      <c r="Z118" s="55" t="s">
        <v>832</v>
      </c>
      <c r="AA118" s="55" t="s">
        <v>142</v>
      </c>
      <c r="AD118" s="55" t="b">
        <v>1</v>
      </c>
      <c r="AE118" s="55" t="s">
        <v>1612</v>
      </c>
      <c r="AF118" s="55" t="s">
        <v>834</v>
      </c>
      <c r="AG118" s="55" t="s">
        <v>836</v>
      </c>
      <c r="AH118" s="55" t="s">
        <v>835</v>
      </c>
      <c r="AN118" s="55">
        <v>1</v>
      </c>
      <c r="AO118" s="55">
        <v>0</v>
      </c>
      <c r="AP118" s="55" t="s">
        <v>837</v>
      </c>
      <c r="AQ118" s="55" t="s">
        <v>317</v>
      </c>
      <c r="AR118" s="55" t="s">
        <v>318</v>
      </c>
      <c r="AT118" s="55" t="b">
        <v>1</v>
      </c>
      <c r="AU118" s="55" t="s">
        <v>150</v>
      </c>
      <c r="AW118" s="55" t="s">
        <v>151</v>
      </c>
      <c r="AX118" s="55">
        <v>-1</v>
      </c>
      <c r="AY118" s="55">
        <v>-1</v>
      </c>
      <c r="BA118" s="55">
        <v>1466474</v>
      </c>
      <c r="BB118" s="55">
        <v>1466474</v>
      </c>
      <c r="BC118" s="55">
        <v>1433600</v>
      </c>
      <c r="BD118" s="55" t="s">
        <v>152</v>
      </c>
      <c r="BE118" s="55" t="s">
        <v>153</v>
      </c>
      <c r="BF118" s="55" t="s">
        <v>154</v>
      </c>
      <c r="BI118" s="55" t="b">
        <v>0</v>
      </c>
      <c r="BJ118" s="55">
        <v>0</v>
      </c>
      <c r="BK118" s="55">
        <v>10000</v>
      </c>
      <c r="BL118" s="55" t="b">
        <v>0</v>
      </c>
      <c r="BM118" s="55" t="b">
        <v>0</v>
      </c>
      <c r="BO118" s="55" t="b">
        <v>0</v>
      </c>
      <c r="BP118" s="55" t="s">
        <v>155</v>
      </c>
      <c r="BQ118" s="55">
        <v>15</v>
      </c>
      <c r="BR118" s="55" t="s">
        <v>153</v>
      </c>
      <c r="BS118" s="55" t="s">
        <v>156</v>
      </c>
      <c r="BU118" s="55" t="s">
        <v>1613</v>
      </c>
      <c r="BV118" s="55" t="s">
        <v>1614</v>
      </c>
      <c r="BW118" s="55" t="s">
        <v>1614</v>
      </c>
      <c r="BX118" s="55" t="s">
        <v>1614</v>
      </c>
      <c r="BZ118" s="55" t="s">
        <v>1615</v>
      </c>
      <c r="CA118" s="55" t="s">
        <v>1616</v>
      </c>
      <c r="CI118" s="55" t="s">
        <v>161</v>
      </c>
      <c r="CJ118" s="55" t="s">
        <v>844</v>
      </c>
      <c r="CK118" s="55" t="s">
        <v>845</v>
      </c>
      <c r="CL118" s="55" t="s">
        <v>326</v>
      </c>
      <c r="CM118" s="55" t="s">
        <v>1503</v>
      </c>
      <c r="CP118" s="55" t="s">
        <v>1617</v>
      </c>
      <c r="CQ118" s="55" t="s">
        <v>1618</v>
      </c>
      <c r="CR118" s="55" t="s">
        <v>1619</v>
      </c>
      <c r="CS118" s="55" t="s">
        <v>170</v>
      </c>
      <c r="CT118" s="55" t="s">
        <v>171</v>
      </c>
      <c r="CU118" s="55" t="s">
        <v>172</v>
      </c>
      <c r="CV118" s="55" t="s">
        <v>173</v>
      </c>
    </row>
    <row r="119" spans="1:100">
      <c r="A119" s="55" t="s">
        <v>1620</v>
      </c>
      <c r="B119" s="55" t="s">
        <v>1621</v>
      </c>
      <c r="C119" s="55" t="s">
        <v>135</v>
      </c>
      <c r="D119" s="55" t="b">
        <v>0</v>
      </c>
      <c r="E119" s="55" t="b">
        <v>0</v>
      </c>
      <c r="F119" s="55" t="s">
        <v>136</v>
      </c>
      <c r="G119" s="55" t="s">
        <v>1622</v>
      </c>
      <c r="H119" s="55" t="s">
        <v>138</v>
      </c>
      <c r="I119" s="55" t="s">
        <v>139</v>
      </c>
      <c r="J119" s="55" t="s">
        <v>136</v>
      </c>
      <c r="K119" s="55" t="b">
        <v>0</v>
      </c>
      <c r="L119" s="56">
        <v>45617.158136574071</v>
      </c>
      <c r="O119" s="55">
        <v>0</v>
      </c>
      <c r="P119" s="56">
        <v>44945.412592592591</v>
      </c>
      <c r="Q119" s="56">
        <v>45900.071157407408</v>
      </c>
      <c r="R119" s="57">
        <v>4</v>
      </c>
      <c r="S119" s="55" t="s">
        <v>140</v>
      </c>
      <c r="T119" s="57">
        <v>8192</v>
      </c>
      <c r="U119" s="55">
        <v>81</v>
      </c>
      <c r="V119" s="55">
        <v>1</v>
      </c>
      <c r="W119" s="55">
        <v>1</v>
      </c>
      <c r="X119" s="58">
        <v>51200</v>
      </c>
      <c r="Z119" s="55" t="s">
        <v>1326</v>
      </c>
      <c r="AA119" s="55" t="s">
        <v>142</v>
      </c>
      <c r="AD119" s="55" t="b">
        <v>1</v>
      </c>
      <c r="AE119" s="55" t="s">
        <v>1623</v>
      </c>
      <c r="AF119" s="55" t="s">
        <v>1587</v>
      </c>
      <c r="AN119" s="55">
        <v>1</v>
      </c>
      <c r="AO119" s="55">
        <v>4096</v>
      </c>
      <c r="AP119" s="55" t="s">
        <v>1331</v>
      </c>
      <c r="AQ119" s="55" t="s">
        <v>192</v>
      </c>
      <c r="AR119" s="55" t="s">
        <v>193</v>
      </c>
      <c r="AT119" s="55" t="b">
        <v>1</v>
      </c>
      <c r="AU119" s="55" t="s">
        <v>150</v>
      </c>
      <c r="AW119" s="55" t="s">
        <v>151</v>
      </c>
      <c r="AX119" s="55">
        <v>-1</v>
      </c>
      <c r="AY119" s="55">
        <v>-1</v>
      </c>
      <c r="BA119" s="55">
        <v>59486</v>
      </c>
      <c r="BB119" s="55">
        <v>59486</v>
      </c>
      <c r="BC119" s="55">
        <v>51200</v>
      </c>
      <c r="BD119" s="55" t="s">
        <v>152</v>
      </c>
      <c r="BE119" s="55" t="s">
        <v>153</v>
      </c>
      <c r="BF119" s="55" t="s">
        <v>154</v>
      </c>
      <c r="BI119" s="55" t="b">
        <v>0</v>
      </c>
      <c r="BJ119" s="55">
        <v>0</v>
      </c>
      <c r="BK119" s="55">
        <v>10000</v>
      </c>
      <c r="BL119" s="55" t="b">
        <v>0</v>
      </c>
      <c r="BM119" s="55" t="b">
        <v>0</v>
      </c>
      <c r="BO119" s="55" t="b">
        <v>0</v>
      </c>
      <c r="BP119" s="55" t="s">
        <v>155</v>
      </c>
      <c r="BQ119" s="55">
        <v>19</v>
      </c>
      <c r="BR119" s="55" t="s">
        <v>153</v>
      </c>
      <c r="BS119" s="55" t="s">
        <v>156</v>
      </c>
      <c r="BU119" s="55" t="s">
        <v>1624</v>
      </c>
      <c r="BV119" s="55" t="s">
        <v>1625</v>
      </c>
      <c r="BW119" s="55" t="s">
        <v>1625</v>
      </c>
      <c r="BX119" s="55" t="s">
        <v>1625</v>
      </c>
      <c r="BZ119" s="55" t="s">
        <v>1626</v>
      </c>
      <c r="CA119" s="55" t="s">
        <v>1627</v>
      </c>
      <c r="CI119" s="55" t="s">
        <v>161</v>
      </c>
      <c r="CJ119" s="55" t="s">
        <v>1340</v>
      </c>
      <c r="CK119" s="55" t="s">
        <v>1390</v>
      </c>
      <c r="CL119" s="55" t="s">
        <v>1628</v>
      </c>
      <c r="CM119" s="55" t="s">
        <v>1628</v>
      </c>
      <c r="CN119" s="55" t="s">
        <v>166</v>
      </c>
      <c r="CP119" s="55" t="s">
        <v>1629</v>
      </c>
      <c r="CQ119" s="55" t="s">
        <v>1630</v>
      </c>
      <c r="CR119" s="55" t="s">
        <v>1631</v>
      </c>
      <c r="CS119" s="55" t="s">
        <v>170</v>
      </c>
      <c r="CT119" s="55" t="s">
        <v>171</v>
      </c>
      <c r="CU119" s="55" t="s">
        <v>172</v>
      </c>
      <c r="CV119" s="55" t="s">
        <v>173</v>
      </c>
    </row>
    <row r="120" spans="1:100">
      <c r="A120" s="55" t="s">
        <v>1632</v>
      </c>
      <c r="B120" s="55" t="s">
        <v>1633</v>
      </c>
      <c r="C120" s="55" t="s">
        <v>135</v>
      </c>
      <c r="D120" s="55" t="b">
        <v>0</v>
      </c>
      <c r="E120" s="55" t="b">
        <v>0</v>
      </c>
      <c r="F120" s="55" t="s">
        <v>136</v>
      </c>
      <c r="H120" s="55" t="s">
        <v>138</v>
      </c>
      <c r="I120" s="55" t="s">
        <v>474</v>
      </c>
      <c r="J120" s="55" t="s">
        <v>151</v>
      </c>
      <c r="K120" s="55" t="b">
        <v>0</v>
      </c>
      <c r="L120" s="56">
        <v>45775.034791666672</v>
      </c>
      <c r="O120" s="55">
        <v>0</v>
      </c>
      <c r="P120" s="56">
        <v>45035.479039351849</v>
      </c>
      <c r="Q120" s="56">
        <v>45891.990636574083</v>
      </c>
      <c r="R120" s="57">
        <v>12</v>
      </c>
      <c r="S120" s="55" t="s">
        <v>140</v>
      </c>
      <c r="T120" s="57">
        <v>18432</v>
      </c>
      <c r="U120" s="55">
        <v>368</v>
      </c>
      <c r="V120" s="55">
        <v>3</v>
      </c>
      <c r="W120" s="55">
        <v>1</v>
      </c>
      <c r="X120" s="58">
        <v>337920</v>
      </c>
      <c r="Z120" s="55" t="s">
        <v>1326</v>
      </c>
      <c r="AA120" s="55" t="s">
        <v>142</v>
      </c>
      <c r="AD120" s="55" t="b">
        <v>1</v>
      </c>
      <c r="AF120" s="55" t="s">
        <v>1328</v>
      </c>
      <c r="AG120" s="55" t="s">
        <v>1634</v>
      </c>
      <c r="AH120" s="55" t="s">
        <v>1329</v>
      </c>
      <c r="AN120" s="55">
        <v>1</v>
      </c>
      <c r="AO120" s="55">
        <v>4096</v>
      </c>
      <c r="AP120" s="55" t="s">
        <v>1331</v>
      </c>
      <c r="AQ120" s="55" t="s">
        <v>317</v>
      </c>
      <c r="AR120" s="55" t="s">
        <v>318</v>
      </c>
      <c r="AT120" s="55" t="b">
        <v>1</v>
      </c>
      <c r="AU120" s="55" t="s">
        <v>150</v>
      </c>
      <c r="AW120" s="55" t="s">
        <v>151</v>
      </c>
      <c r="AX120" s="55">
        <v>-1</v>
      </c>
      <c r="AY120" s="55">
        <v>-1</v>
      </c>
      <c r="BA120" s="55">
        <v>356444</v>
      </c>
      <c r="BB120" s="55">
        <v>356444</v>
      </c>
      <c r="BC120" s="55">
        <v>337920</v>
      </c>
      <c r="BD120" s="55" t="s">
        <v>152</v>
      </c>
      <c r="BE120" s="55" t="s">
        <v>153</v>
      </c>
      <c r="BF120" s="55" t="s">
        <v>154</v>
      </c>
      <c r="BI120" s="55" t="b">
        <v>0</v>
      </c>
      <c r="BJ120" s="55">
        <v>0</v>
      </c>
      <c r="BK120" s="55">
        <v>10000</v>
      </c>
      <c r="BL120" s="55" t="b">
        <v>0</v>
      </c>
      <c r="BM120" s="55" t="b">
        <v>0</v>
      </c>
      <c r="BO120" s="55" t="b">
        <v>0</v>
      </c>
      <c r="BP120" s="55" t="s">
        <v>155</v>
      </c>
      <c r="BQ120" s="55">
        <v>14</v>
      </c>
      <c r="BR120" s="55" t="s">
        <v>153</v>
      </c>
      <c r="BS120" s="55" t="s">
        <v>156</v>
      </c>
      <c r="BU120" s="55" t="s">
        <v>1635</v>
      </c>
      <c r="BV120" s="55" t="s">
        <v>1636</v>
      </c>
      <c r="BW120" s="55" t="s">
        <v>1636</v>
      </c>
      <c r="BX120" s="55" t="s">
        <v>1636</v>
      </c>
      <c r="BZ120" s="55" t="s">
        <v>1637</v>
      </c>
      <c r="CA120" s="55" t="s">
        <v>995</v>
      </c>
      <c r="CI120" s="55" t="s">
        <v>161</v>
      </c>
      <c r="CJ120" s="55" t="s">
        <v>1340</v>
      </c>
      <c r="CK120" s="55" t="s">
        <v>1565</v>
      </c>
      <c r="CL120" s="55" t="s">
        <v>1638</v>
      </c>
      <c r="CN120" s="55" t="s">
        <v>166</v>
      </c>
      <c r="CP120" s="55" t="s">
        <v>1639</v>
      </c>
      <c r="CQ120" s="55" t="s">
        <v>1640</v>
      </c>
      <c r="CR120" s="55" t="s">
        <v>1641</v>
      </c>
      <c r="CS120" s="55" t="s">
        <v>170</v>
      </c>
      <c r="CT120" s="55" t="s">
        <v>171</v>
      </c>
      <c r="CU120" s="55" t="s">
        <v>172</v>
      </c>
      <c r="CV120" s="55" t="s">
        <v>173</v>
      </c>
    </row>
    <row r="121" spans="1:100">
      <c r="A121" s="55" t="s">
        <v>1642</v>
      </c>
      <c r="B121" s="55" t="s">
        <v>1643</v>
      </c>
      <c r="C121" s="55" t="s">
        <v>135</v>
      </c>
      <c r="D121" s="55" t="b">
        <v>0</v>
      </c>
      <c r="E121" s="55" t="b">
        <v>0</v>
      </c>
      <c r="F121" s="55" t="s">
        <v>136</v>
      </c>
      <c r="G121" s="55" t="s">
        <v>1644</v>
      </c>
      <c r="H121" s="55" t="s">
        <v>138</v>
      </c>
      <c r="I121" s="55" t="s">
        <v>139</v>
      </c>
      <c r="J121" s="55" t="s">
        <v>136</v>
      </c>
      <c r="K121" s="55" t="b">
        <v>0</v>
      </c>
      <c r="L121" s="56">
        <v>45780.501111111109</v>
      </c>
      <c r="O121" s="55">
        <v>0</v>
      </c>
      <c r="P121" s="56">
        <v>44145.618067129632</v>
      </c>
      <c r="Q121" s="56">
        <v>45901.583425925928</v>
      </c>
      <c r="R121" s="57">
        <v>2</v>
      </c>
      <c r="S121" s="55" t="s">
        <v>140</v>
      </c>
      <c r="T121" s="57">
        <v>16384</v>
      </c>
      <c r="U121" s="55">
        <v>983</v>
      </c>
      <c r="V121" s="55">
        <v>3</v>
      </c>
      <c r="W121" s="55">
        <v>3</v>
      </c>
      <c r="X121" s="58">
        <v>307200</v>
      </c>
      <c r="Z121" s="55" t="s">
        <v>1326</v>
      </c>
      <c r="AA121" s="55" t="s">
        <v>142</v>
      </c>
      <c r="AC121" s="55" t="b">
        <v>1</v>
      </c>
      <c r="AD121" s="55" t="b">
        <v>1</v>
      </c>
      <c r="AE121" s="55" t="s">
        <v>1645</v>
      </c>
      <c r="AF121" s="55" t="s">
        <v>1328</v>
      </c>
      <c r="AG121" s="55" t="s">
        <v>1329</v>
      </c>
      <c r="AH121" s="55" t="s">
        <v>1634</v>
      </c>
      <c r="AN121" s="55">
        <v>1</v>
      </c>
      <c r="AO121" s="55">
        <v>16384</v>
      </c>
      <c r="AP121" s="55" t="s">
        <v>1331</v>
      </c>
      <c r="AQ121" s="55" t="s">
        <v>317</v>
      </c>
      <c r="AR121" s="55" t="s">
        <v>318</v>
      </c>
      <c r="AT121" s="55" t="b">
        <v>1</v>
      </c>
      <c r="AU121" s="55" t="s">
        <v>150</v>
      </c>
      <c r="AW121" s="55" t="s">
        <v>151</v>
      </c>
      <c r="AX121" s="55">
        <v>-1</v>
      </c>
      <c r="AY121" s="55">
        <v>-1</v>
      </c>
      <c r="BA121" s="55">
        <v>323708</v>
      </c>
      <c r="BB121" s="55">
        <v>323708</v>
      </c>
      <c r="BC121" s="55">
        <v>307200</v>
      </c>
      <c r="BD121" s="55" t="s">
        <v>152</v>
      </c>
      <c r="BE121" s="55" t="s">
        <v>153</v>
      </c>
      <c r="BF121" s="55" t="s">
        <v>154</v>
      </c>
      <c r="BI121" s="55" t="b">
        <v>0</v>
      </c>
      <c r="BJ121" s="55">
        <v>0</v>
      </c>
      <c r="BK121" s="55">
        <v>10000</v>
      </c>
      <c r="BL121" s="55" t="b">
        <v>0</v>
      </c>
      <c r="BM121" s="55" t="b">
        <v>0</v>
      </c>
      <c r="BO121" s="55" t="b">
        <v>0</v>
      </c>
      <c r="BP121" s="55" t="s">
        <v>155</v>
      </c>
      <c r="BQ121" s="55">
        <v>15</v>
      </c>
      <c r="BR121" s="55" t="s">
        <v>153</v>
      </c>
      <c r="BS121" s="55" t="s">
        <v>156</v>
      </c>
      <c r="BU121" s="55" t="s">
        <v>1646</v>
      </c>
      <c r="BV121" s="55" t="s">
        <v>1647</v>
      </c>
      <c r="BW121" s="55" t="s">
        <v>1647</v>
      </c>
      <c r="BX121" s="55" t="s">
        <v>1647</v>
      </c>
      <c r="BY121" s="55" t="s">
        <v>1387</v>
      </c>
      <c r="BZ121" s="55" t="s">
        <v>1648</v>
      </c>
      <c r="CA121" s="55" t="s">
        <v>1649</v>
      </c>
      <c r="CI121" s="55" t="s">
        <v>161</v>
      </c>
      <c r="CJ121" s="55" t="s">
        <v>1340</v>
      </c>
      <c r="CK121" s="55" t="s">
        <v>1402</v>
      </c>
      <c r="CL121" s="55" t="s">
        <v>1042</v>
      </c>
      <c r="CM121" s="55" t="s">
        <v>1042</v>
      </c>
      <c r="CN121" s="55" t="s">
        <v>166</v>
      </c>
      <c r="CP121" s="55" t="s">
        <v>1650</v>
      </c>
      <c r="CQ121" s="55" t="s">
        <v>1651</v>
      </c>
      <c r="CR121" s="55" t="s">
        <v>1652</v>
      </c>
      <c r="CS121" s="55" t="s">
        <v>170</v>
      </c>
      <c r="CT121" s="55" t="s">
        <v>171</v>
      </c>
      <c r="CU121" s="55" t="s">
        <v>172</v>
      </c>
      <c r="CV121" s="55" t="s">
        <v>173</v>
      </c>
    </row>
    <row r="122" spans="1:100" s="49" customFormat="1">
      <c r="A122" s="49" t="s">
        <v>1653</v>
      </c>
      <c r="B122" s="49" t="s">
        <v>1654</v>
      </c>
      <c r="C122" s="49" t="s">
        <v>732</v>
      </c>
      <c r="D122" s="49" t="b">
        <v>0</v>
      </c>
      <c r="E122" s="49" t="b">
        <v>0</v>
      </c>
      <c r="F122" s="49" t="s">
        <v>136</v>
      </c>
      <c r="G122" s="49" t="s">
        <v>1655</v>
      </c>
      <c r="H122" s="49" t="s">
        <v>138</v>
      </c>
      <c r="I122" s="49" t="s">
        <v>474</v>
      </c>
      <c r="J122" s="49" t="s">
        <v>151</v>
      </c>
      <c r="K122" s="49" t="b">
        <v>0</v>
      </c>
      <c r="O122" s="49">
        <v>0</v>
      </c>
      <c r="P122" s="50">
        <v>44452.941736111112</v>
      </c>
      <c r="Q122" s="50">
        <v>45773.994803240741</v>
      </c>
      <c r="R122" s="51">
        <v>8</v>
      </c>
      <c r="T122" s="51">
        <v>32768</v>
      </c>
      <c r="U122" s="49">
        <v>0</v>
      </c>
      <c r="V122" s="49">
        <v>3</v>
      </c>
      <c r="W122" s="49">
        <v>2</v>
      </c>
      <c r="X122" s="52">
        <v>307200</v>
      </c>
      <c r="Y122" s="49" t="b">
        <v>0</v>
      </c>
      <c r="AA122" s="49" t="s">
        <v>142</v>
      </c>
      <c r="AD122" s="49" t="b">
        <v>1</v>
      </c>
      <c r="AF122" s="49" t="s">
        <v>1656</v>
      </c>
      <c r="AG122" s="49" t="s">
        <v>1036</v>
      </c>
      <c r="AH122" s="49" t="s">
        <v>851</v>
      </c>
      <c r="AN122" s="49">
        <v>1</v>
      </c>
      <c r="AO122" s="49">
        <v>8192</v>
      </c>
      <c r="AP122" s="49" t="s">
        <v>818</v>
      </c>
      <c r="AQ122" s="49" t="s">
        <v>317</v>
      </c>
      <c r="AR122" s="49" t="s">
        <v>318</v>
      </c>
      <c r="AU122" s="49" t="s">
        <v>150</v>
      </c>
      <c r="AW122" s="49" t="s">
        <v>151</v>
      </c>
      <c r="AX122" s="49">
        <v>-1</v>
      </c>
      <c r="AY122" s="49">
        <v>-1</v>
      </c>
      <c r="BA122" s="49">
        <v>340633</v>
      </c>
      <c r="BB122" s="49">
        <v>307273</v>
      </c>
      <c r="BC122" s="49">
        <v>307200</v>
      </c>
      <c r="BD122" s="49" t="s">
        <v>152</v>
      </c>
      <c r="BE122" s="49" t="s">
        <v>153</v>
      </c>
      <c r="BF122" s="49" t="s">
        <v>154</v>
      </c>
      <c r="BI122" s="49" t="b">
        <v>0</v>
      </c>
      <c r="BJ122" s="49">
        <v>0</v>
      </c>
      <c r="BK122" s="49">
        <v>10000</v>
      </c>
      <c r="BL122" s="49" t="b">
        <v>0</v>
      </c>
      <c r="BM122" s="49" t="b">
        <v>0</v>
      </c>
      <c r="BO122" s="49" t="b">
        <v>0</v>
      </c>
      <c r="BP122" s="49" t="s">
        <v>155</v>
      </c>
      <c r="BQ122" s="49">
        <v>15</v>
      </c>
      <c r="BR122" s="49" t="s">
        <v>153</v>
      </c>
      <c r="BS122" s="49" t="s">
        <v>156</v>
      </c>
      <c r="BU122" s="49" t="s">
        <v>1657</v>
      </c>
      <c r="BV122" s="49" t="s">
        <v>1658</v>
      </c>
      <c r="BW122" s="49" t="s">
        <v>1658</v>
      </c>
      <c r="BX122" s="49" t="s">
        <v>1658</v>
      </c>
      <c r="BY122" s="49" t="s">
        <v>1659</v>
      </c>
      <c r="BZ122" s="49" t="s">
        <v>1660</v>
      </c>
      <c r="CA122" s="49" t="s">
        <v>1661</v>
      </c>
      <c r="CI122" s="49" t="s">
        <v>161</v>
      </c>
      <c r="CJ122" s="49" t="s">
        <v>824</v>
      </c>
      <c r="CK122" s="49" t="s">
        <v>912</v>
      </c>
      <c r="CL122" s="49" t="s">
        <v>326</v>
      </c>
      <c r="CP122" s="49" t="s">
        <v>1662</v>
      </c>
      <c r="CQ122" s="49" t="s">
        <v>1663</v>
      </c>
      <c r="CR122" s="49" t="s">
        <v>1664</v>
      </c>
      <c r="CS122" s="49" t="s">
        <v>170</v>
      </c>
      <c r="CT122" s="49" t="s">
        <v>171</v>
      </c>
      <c r="CU122" s="49" t="s">
        <v>172</v>
      </c>
      <c r="CV122" s="49" t="s">
        <v>173</v>
      </c>
    </row>
    <row r="123" spans="1:100">
      <c r="A123" s="55" t="s">
        <v>1665</v>
      </c>
      <c r="B123" s="55" t="s">
        <v>1666</v>
      </c>
      <c r="C123" s="55" t="s">
        <v>135</v>
      </c>
      <c r="D123" s="55" t="b">
        <v>0</v>
      </c>
      <c r="E123" s="55" t="b">
        <v>0</v>
      </c>
      <c r="F123" s="55" t="s">
        <v>136</v>
      </c>
      <c r="G123" s="55" t="s">
        <v>1667</v>
      </c>
      <c r="H123" s="55" t="s">
        <v>138</v>
      </c>
      <c r="I123" s="55" t="s">
        <v>139</v>
      </c>
      <c r="J123" s="55" t="s">
        <v>136</v>
      </c>
      <c r="K123" s="55" t="b">
        <v>0</v>
      </c>
      <c r="L123" s="56">
        <v>45776.525659722232</v>
      </c>
      <c r="O123" s="55">
        <v>0</v>
      </c>
      <c r="P123" s="56">
        <v>44453.57545138889</v>
      </c>
      <c r="Q123" s="56">
        <v>45886.025671296287</v>
      </c>
      <c r="R123" s="57">
        <v>8</v>
      </c>
      <c r="S123" s="55" t="s">
        <v>140</v>
      </c>
      <c r="T123" s="57">
        <v>16384</v>
      </c>
      <c r="U123" s="55">
        <v>2457</v>
      </c>
      <c r="V123" s="55">
        <v>3</v>
      </c>
      <c r="W123" s="55">
        <v>2</v>
      </c>
      <c r="X123" s="58">
        <v>182272</v>
      </c>
      <c r="Z123" s="55" t="s">
        <v>813</v>
      </c>
      <c r="AA123" s="55" t="s">
        <v>142</v>
      </c>
      <c r="AD123" s="55" t="b">
        <v>1</v>
      </c>
      <c r="AE123" s="55" t="s">
        <v>1668</v>
      </c>
      <c r="AF123" s="55" t="s">
        <v>851</v>
      </c>
      <c r="AG123" s="55" t="s">
        <v>1656</v>
      </c>
      <c r="AH123" s="55" t="s">
        <v>1669</v>
      </c>
      <c r="AN123" s="55">
        <v>1</v>
      </c>
      <c r="AO123" s="55">
        <v>16384</v>
      </c>
      <c r="AP123" s="55" t="s">
        <v>818</v>
      </c>
      <c r="AQ123" s="55" t="s">
        <v>317</v>
      </c>
      <c r="AR123" s="55" t="s">
        <v>318</v>
      </c>
      <c r="AT123" s="55" t="b">
        <v>1</v>
      </c>
      <c r="AU123" s="55" t="s">
        <v>150</v>
      </c>
      <c r="AW123" s="55" t="s">
        <v>151</v>
      </c>
      <c r="AX123" s="55">
        <v>-1</v>
      </c>
      <c r="AY123" s="55">
        <v>-1</v>
      </c>
      <c r="BA123" s="55">
        <v>198901</v>
      </c>
      <c r="BB123" s="55">
        <v>198901</v>
      </c>
      <c r="BC123" s="55">
        <v>182272</v>
      </c>
      <c r="BD123" s="55" t="s">
        <v>152</v>
      </c>
      <c r="BE123" s="55" t="s">
        <v>153</v>
      </c>
      <c r="BF123" s="55" t="s">
        <v>154</v>
      </c>
      <c r="BI123" s="55" t="b">
        <v>0</v>
      </c>
      <c r="BJ123" s="55">
        <v>0</v>
      </c>
      <c r="BK123" s="55">
        <v>10000</v>
      </c>
      <c r="BL123" s="55" t="b">
        <v>0</v>
      </c>
      <c r="BM123" s="55" t="b">
        <v>0</v>
      </c>
      <c r="BO123" s="55" t="b">
        <v>0</v>
      </c>
      <c r="BP123" s="55" t="s">
        <v>155</v>
      </c>
      <c r="BQ123" s="55">
        <v>15</v>
      </c>
      <c r="BR123" s="55" t="s">
        <v>153</v>
      </c>
      <c r="BS123" s="55" t="s">
        <v>156</v>
      </c>
      <c r="BU123" s="55" t="s">
        <v>1670</v>
      </c>
      <c r="BV123" s="55" t="s">
        <v>1671</v>
      </c>
      <c r="BW123" s="55" t="s">
        <v>1671</v>
      </c>
      <c r="BX123" s="55" t="s">
        <v>1671</v>
      </c>
      <c r="BZ123" s="55" t="s">
        <v>1672</v>
      </c>
      <c r="CA123" s="55" t="s">
        <v>1673</v>
      </c>
      <c r="CI123" s="55" t="s">
        <v>161</v>
      </c>
      <c r="CJ123" s="55" t="s">
        <v>824</v>
      </c>
      <c r="CK123" s="55" t="s">
        <v>869</v>
      </c>
      <c r="CL123" s="55" t="s">
        <v>479</v>
      </c>
      <c r="CM123" s="55" t="s">
        <v>479</v>
      </c>
      <c r="CN123" s="55" t="s">
        <v>166</v>
      </c>
      <c r="CP123" s="55" t="s">
        <v>1674</v>
      </c>
      <c r="CQ123" s="55" t="s">
        <v>1675</v>
      </c>
      <c r="CR123" s="55" t="s">
        <v>1676</v>
      </c>
      <c r="CS123" s="55" t="s">
        <v>170</v>
      </c>
      <c r="CT123" s="55" t="s">
        <v>171</v>
      </c>
      <c r="CU123" s="55" t="s">
        <v>172</v>
      </c>
      <c r="CV123" s="55" t="s">
        <v>173</v>
      </c>
    </row>
    <row r="124" spans="1:100">
      <c r="A124" s="55" t="s">
        <v>1677</v>
      </c>
      <c r="B124" s="55" t="s">
        <v>1678</v>
      </c>
      <c r="C124" s="55" t="s">
        <v>135</v>
      </c>
      <c r="D124" s="55" t="b">
        <v>0</v>
      </c>
      <c r="E124" s="55" t="b">
        <v>0</v>
      </c>
      <c r="F124" s="55" t="s">
        <v>136</v>
      </c>
      <c r="G124" s="55" t="s">
        <v>1679</v>
      </c>
      <c r="H124" s="55" t="s">
        <v>138</v>
      </c>
      <c r="I124" s="55" t="s">
        <v>139</v>
      </c>
      <c r="J124" s="55" t="s">
        <v>136</v>
      </c>
      <c r="K124" s="55" t="b">
        <v>0</v>
      </c>
      <c r="L124" s="56">
        <v>45857.875590277778</v>
      </c>
      <c r="O124" s="55">
        <v>0</v>
      </c>
      <c r="P124" s="56">
        <v>44452.936099537037</v>
      </c>
      <c r="Q124" s="56">
        <v>45901.756562499999</v>
      </c>
      <c r="R124" s="57">
        <v>4</v>
      </c>
      <c r="S124" s="55" t="s">
        <v>140</v>
      </c>
      <c r="T124" s="57">
        <v>12288</v>
      </c>
      <c r="U124" s="55">
        <v>1351</v>
      </c>
      <c r="V124" s="55">
        <v>3</v>
      </c>
      <c r="W124" s="55">
        <v>3</v>
      </c>
      <c r="X124" s="58">
        <v>204800</v>
      </c>
      <c r="Z124" s="55" t="s">
        <v>1326</v>
      </c>
      <c r="AA124" s="55" t="s">
        <v>142</v>
      </c>
      <c r="AC124" s="55" t="b">
        <v>1</v>
      </c>
      <c r="AD124" s="55" t="b">
        <v>1</v>
      </c>
      <c r="AE124" s="55" t="s">
        <v>1680</v>
      </c>
      <c r="AF124" s="55" t="s">
        <v>1656</v>
      </c>
      <c r="AG124" s="55" t="s">
        <v>1036</v>
      </c>
      <c r="AH124" s="55" t="s">
        <v>905</v>
      </c>
      <c r="AN124" s="55">
        <v>1</v>
      </c>
      <c r="AO124" s="55">
        <v>16384</v>
      </c>
      <c r="AP124" s="55" t="s">
        <v>818</v>
      </c>
      <c r="AQ124" s="55" t="s">
        <v>192</v>
      </c>
      <c r="AR124" s="55" t="s">
        <v>193</v>
      </c>
      <c r="AT124" s="55" t="b">
        <v>1</v>
      </c>
      <c r="AU124" s="55" t="s">
        <v>150</v>
      </c>
      <c r="AW124" s="55" t="s">
        <v>151</v>
      </c>
      <c r="AX124" s="55">
        <v>-1</v>
      </c>
      <c r="AY124" s="55">
        <v>-1</v>
      </c>
      <c r="BA124" s="55">
        <v>217197</v>
      </c>
      <c r="BB124" s="55">
        <v>217197</v>
      </c>
      <c r="BC124" s="55">
        <v>204800</v>
      </c>
      <c r="BD124" s="55" t="s">
        <v>152</v>
      </c>
      <c r="BE124" s="55" t="s">
        <v>153</v>
      </c>
      <c r="BF124" s="55" t="s">
        <v>154</v>
      </c>
      <c r="BI124" s="55" t="b">
        <v>0</v>
      </c>
      <c r="BJ124" s="55">
        <v>0</v>
      </c>
      <c r="BK124" s="55">
        <v>10000</v>
      </c>
      <c r="BL124" s="55" t="b">
        <v>0</v>
      </c>
      <c r="BM124" s="55" t="b">
        <v>0</v>
      </c>
      <c r="BO124" s="55" t="b">
        <v>0</v>
      </c>
      <c r="BP124" s="55" t="s">
        <v>155</v>
      </c>
      <c r="BQ124" s="55">
        <v>19</v>
      </c>
      <c r="BR124" s="55" t="s">
        <v>153</v>
      </c>
      <c r="BS124" s="55" t="s">
        <v>156</v>
      </c>
      <c r="BU124" s="55" t="s">
        <v>1681</v>
      </c>
      <c r="BV124" s="55" t="s">
        <v>1682</v>
      </c>
      <c r="BW124" s="55" t="s">
        <v>1682</v>
      </c>
      <c r="BX124" s="55" t="s">
        <v>1682</v>
      </c>
      <c r="BZ124" s="55" t="s">
        <v>1683</v>
      </c>
      <c r="CA124" s="55" t="s">
        <v>1684</v>
      </c>
      <c r="CB124" s="55" t="s">
        <v>1685</v>
      </c>
      <c r="CI124" s="55" t="s">
        <v>161</v>
      </c>
      <c r="CJ124" s="55" t="s">
        <v>824</v>
      </c>
      <c r="CK124" s="55" t="s">
        <v>859</v>
      </c>
      <c r="CL124" s="55" t="s">
        <v>213</v>
      </c>
      <c r="CM124" s="55" t="s">
        <v>213</v>
      </c>
      <c r="CN124" s="55" t="s">
        <v>166</v>
      </c>
      <c r="CP124" s="55" t="s">
        <v>1685</v>
      </c>
      <c r="CQ124" s="55" t="s">
        <v>1686</v>
      </c>
      <c r="CR124" s="55" t="s">
        <v>1687</v>
      </c>
      <c r="CS124" s="55" t="s">
        <v>170</v>
      </c>
      <c r="CT124" s="55" t="s">
        <v>171</v>
      </c>
      <c r="CU124" s="55" t="s">
        <v>172</v>
      </c>
      <c r="CV124" s="55" t="s">
        <v>173</v>
      </c>
    </row>
    <row r="125" spans="1:100">
      <c r="A125" s="55" t="s">
        <v>1688</v>
      </c>
      <c r="B125" s="55" t="s">
        <v>1689</v>
      </c>
      <c r="C125" s="55" t="s">
        <v>135</v>
      </c>
      <c r="D125" s="55" t="b">
        <v>0</v>
      </c>
      <c r="E125" s="55" t="b">
        <v>0</v>
      </c>
      <c r="F125" s="55" t="s">
        <v>136</v>
      </c>
      <c r="G125" s="55" t="s">
        <v>1690</v>
      </c>
      <c r="H125" s="55" t="s">
        <v>138</v>
      </c>
      <c r="I125" s="55" t="s">
        <v>139</v>
      </c>
      <c r="J125" s="55" t="s">
        <v>136</v>
      </c>
      <c r="K125" s="55" t="b">
        <v>0</v>
      </c>
      <c r="L125" s="56">
        <v>45794.474374999998</v>
      </c>
      <c r="O125" s="55">
        <v>0</v>
      </c>
      <c r="P125" s="56">
        <v>44890.89402777778</v>
      </c>
      <c r="Q125" s="56">
        <v>45900.847002314818</v>
      </c>
      <c r="R125" s="57">
        <v>8</v>
      </c>
      <c r="S125" s="55" t="s">
        <v>140</v>
      </c>
      <c r="T125" s="57">
        <v>32768</v>
      </c>
      <c r="U125" s="55">
        <v>1966</v>
      </c>
      <c r="V125" s="55">
        <v>3</v>
      </c>
      <c r="W125" s="55">
        <v>7</v>
      </c>
      <c r="X125" s="58">
        <v>1006592</v>
      </c>
      <c r="Z125" s="55" t="s">
        <v>177</v>
      </c>
      <c r="AA125" s="55" t="s">
        <v>142</v>
      </c>
      <c r="AC125" s="55" t="b">
        <v>1</v>
      </c>
      <c r="AD125" s="55" t="b">
        <v>1</v>
      </c>
      <c r="AE125" s="55" t="s">
        <v>1691</v>
      </c>
      <c r="AF125" s="55" t="s">
        <v>1692</v>
      </c>
      <c r="AG125" s="55" t="s">
        <v>146</v>
      </c>
      <c r="AH125" s="55" t="s">
        <v>145</v>
      </c>
      <c r="AN125" s="55">
        <v>1</v>
      </c>
      <c r="AO125" s="55">
        <v>16384</v>
      </c>
      <c r="AP125" s="55" t="s">
        <v>147</v>
      </c>
      <c r="AQ125" s="55" t="s">
        <v>148</v>
      </c>
      <c r="AR125" s="55" t="s">
        <v>149</v>
      </c>
      <c r="AT125" s="55" t="b">
        <v>1</v>
      </c>
      <c r="AU125" s="55" t="s">
        <v>150</v>
      </c>
      <c r="AW125" s="55" t="s">
        <v>151</v>
      </c>
      <c r="AX125" s="55">
        <v>-1</v>
      </c>
      <c r="AY125" s="55">
        <v>-1</v>
      </c>
      <c r="BA125" s="55">
        <v>1039664</v>
      </c>
      <c r="BB125" s="55">
        <v>1039664</v>
      </c>
      <c r="BC125" s="55">
        <v>1006592</v>
      </c>
      <c r="BD125" s="55" t="s">
        <v>152</v>
      </c>
      <c r="BE125" s="55" t="s">
        <v>153</v>
      </c>
      <c r="BF125" s="55" t="s">
        <v>154</v>
      </c>
      <c r="BI125" s="55" t="b">
        <v>0</v>
      </c>
      <c r="BJ125" s="55">
        <v>0</v>
      </c>
      <c r="BK125" s="55">
        <v>10000</v>
      </c>
      <c r="BL125" s="55" t="b">
        <v>0</v>
      </c>
      <c r="BM125" s="55" t="b">
        <v>0</v>
      </c>
      <c r="BO125" s="55" t="b">
        <v>0</v>
      </c>
      <c r="BP125" s="55" t="s">
        <v>155</v>
      </c>
      <c r="BQ125" s="55">
        <v>19</v>
      </c>
      <c r="BR125" s="55" t="s">
        <v>153</v>
      </c>
      <c r="BS125" s="55" t="s">
        <v>156</v>
      </c>
      <c r="BU125" s="55" t="s">
        <v>1693</v>
      </c>
      <c r="BV125" s="55" t="s">
        <v>1694</v>
      </c>
      <c r="BW125" s="55" t="s">
        <v>1694</v>
      </c>
      <c r="BX125" s="55" t="s">
        <v>1694</v>
      </c>
      <c r="BZ125" s="55" t="s">
        <v>1695</v>
      </c>
      <c r="CA125" s="55" t="s">
        <v>1696</v>
      </c>
      <c r="CE125" s="55" t="s">
        <v>1697</v>
      </c>
      <c r="CI125" s="55" t="s">
        <v>161</v>
      </c>
      <c r="CJ125" s="55" t="s">
        <v>162</v>
      </c>
      <c r="CK125" s="55" t="s">
        <v>198</v>
      </c>
      <c r="CL125" s="55" t="s">
        <v>683</v>
      </c>
      <c r="CM125" s="55" t="s">
        <v>683</v>
      </c>
      <c r="CN125" s="55" t="s">
        <v>166</v>
      </c>
      <c r="CP125" s="55" t="s">
        <v>1698</v>
      </c>
      <c r="CQ125" s="55" t="s">
        <v>1699</v>
      </c>
      <c r="CR125" s="55" t="s">
        <v>1700</v>
      </c>
      <c r="CS125" s="55" t="s">
        <v>170</v>
      </c>
      <c r="CT125" s="55" t="s">
        <v>171</v>
      </c>
      <c r="CU125" s="55" t="s">
        <v>172</v>
      </c>
      <c r="CV125" s="55" t="s">
        <v>173</v>
      </c>
    </row>
    <row r="126" spans="1:100">
      <c r="A126" s="55" t="s">
        <v>1701</v>
      </c>
      <c r="B126" s="55" t="s">
        <v>1702</v>
      </c>
      <c r="C126" s="55" t="s">
        <v>135</v>
      </c>
      <c r="D126" s="55" t="b">
        <v>0</v>
      </c>
      <c r="E126" s="55" t="b">
        <v>0</v>
      </c>
      <c r="F126" s="55" t="s">
        <v>136</v>
      </c>
      <c r="G126" s="55" t="s">
        <v>1703</v>
      </c>
      <c r="H126" s="55" t="s">
        <v>138</v>
      </c>
      <c r="I126" s="55" t="s">
        <v>139</v>
      </c>
      <c r="J126" s="55" t="s">
        <v>136</v>
      </c>
      <c r="K126" s="55" t="b">
        <v>0</v>
      </c>
      <c r="L126" s="56">
        <v>45787.556655092587</v>
      </c>
      <c r="O126" s="55">
        <v>0</v>
      </c>
      <c r="P126" s="56">
        <v>44890.895590277767</v>
      </c>
      <c r="Q126" s="56">
        <v>45896.006064814806</v>
      </c>
      <c r="R126" s="57">
        <v>4</v>
      </c>
      <c r="S126" s="55" t="s">
        <v>140</v>
      </c>
      <c r="T126" s="57">
        <v>16384</v>
      </c>
      <c r="U126" s="55">
        <v>1474</v>
      </c>
      <c r="V126" s="55">
        <v>3</v>
      </c>
      <c r="W126" s="55">
        <v>4</v>
      </c>
      <c r="X126" s="58">
        <v>11112448</v>
      </c>
      <c r="Z126" s="55" t="s">
        <v>141</v>
      </c>
      <c r="AA126" s="55" t="s">
        <v>142</v>
      </c>
      <c r="AC126" s="55" t="b">
        <v>1</v>
      </c>
      <c r="AD126" s="55" t="b">
        <v>1</v>
      </c>
      <c r="AE126" s="55" t="s">
        <v>1704</v>
      </c>
      <c r="AF126" s="55" t="s">
        <v>1692</v>
      </c>
      <c r="AG126" s="55" t="s">
        <v>146</v>
      </c>
      <c r="AH126" s="55" t="s">
        <v>145</v>
      </c>
      <c r="AN126" s="55">
        <v>1</v>
      </c>
      <c r="AO126" s="55">
        <v>16384</v>
      </c>
      <c r="AP126" s="55" t="s">
        <v>147</v>
      </c>
      <c r="AQ126" s="55" t="s">
        <v>148</v>
      </c>
      <c r="AR126" s="55" t="s">
        <v>149</v>
      </c>
      <c r="AT126" s="55" t="b">
        <v>1</v>
      </c>
      <c r="AU126" s="55" t="s">
        <v>150</v>
      </c>
      <c r="AW126" s="55" t="s">
        <v>151</v>
      </c>
      <c r="AX126" s="55">
        <v>-1</v>
      </c>
      <c r="AY126" s="55">
        <v>-1</v>
      </c>
      <c r="BA126" s="55">
        <v>11128984</v>
      </c>
      <c r="BB126" s="55">
        <v>11128984</v>
      </c>
      <c r="BC126" s="55">
        <v>11112448</v>
      </c>
      <c r="BD126" s="55" t="s">
        <v>152</v>
      </c>
      <c r="BE126" s="55" t="s">
        <v>153</v>
      </c>
      <c r="BF126" s="55" t="s">
        <v>154</v>
      </c>
      <c r="BI126" s="55" t="b">
        <v>0</v>
      </c>
      <c r="BJ126" s="55">
        <v>0</v>
      </c>
      <c r="BK126" s="55">
        <v>10000</v>
      </c>
      <c r="BL126" s="55" t="b">
        <v>0</v>
      </c>
      <c r="BM126" s="55" t="b">
        <v>0</v>
      </c>
      <c r="BO126" s="55" t="b">
        <v>0</v>
      </c>
      <c r="BP126" s="55" t="s">
        <v>155</v>
      </c>
      <c r="BQ126" s="55">
        <v>19</v>
      </c>
      <c r="BR126" s="55" t="s">
        <v>153</v>
      </c>
      <c r="BS126" s="55" t="s">
        <v>156</v>
      </c>
      <c r="BU126" s="55" t="s">
        <v>1705</v>
      </c>
      <c r="BV126" s="55" t="s">
        <v>1706</v>
      </c>
      <c r="BW126" s="55" t="s">
        <v>1706</v>
      </c>
      <c r="BX126" s="55" t="s">
        <v>1706</v>
      </c>
      <c r="BZ126" s="55" t="s">
        <v>1707</v>
      </c>
      <c r="CA126" s="55" t="s">
        <v>1708</v>
      </c>
      <c r="CE126" s="55" t="s">
        <v>1697</v>
      </c>
      <c r="CI126" s="55" t="s">
        <v>161</v>
      </c>
      <c r="CJ126" s="55" t="s">
        <v>162</v>
      </c>
      <c r="CK126" s="55" t="s">
        <v>242</v>
      </c>
      <c r="CL126" s="55" t="s">
        <v>683</v>
      </c>
      <c r="CM126" s="55" t="s">
        <v>683</v>
      </c>
      <c r="CN126" s="55" t="s">
        <v>166</v>
      </c>
      <c r="CP126" s="55" t="s">
        <v>1709</v>
      </c>
      <c r="CQ126" s="55" t="s">
        <v>1710</v>
      </c>
      <c r="CR126" s="55" t="s">
        <v>1711</v>
      </c>
      <c r="CS126" s="55" t="s">
        <v>170</v>
      </c>
      <c r="CT126" s="55" t="s">
        <v>171</v>
      </c>
      <c r="CU126" s="55" t="s">
        <v>172</v>
      </c>
      <c r="CV126" s="55" t="s">
        <v>173</v>
      </c>
    </row>
    <row r="127" spans="1:100">
      <c r="A127" s="55" t="s">
        <v>1712</v>
      </c>
      <c r="B127" s="55" t="s">
        <v>1713</v>
      </c>
      <c r="C127" s="55" t="s">
        <v>135</v>
      </c>
      <c r="D127" s="55" t="b">
        <v>0</v>
      </c>
      <c r="E127" s="55" t="b">
        <v>0</v>
      </c>
      <c r="F127" s="55" t="s">
        <v>136</v>
      </c>
      <c r="G127" s="55" t="s">
        <v>1714</v>
      </c>
      <c r="H127" s="55" t="s">
        <v>138</v>
      </c>
      <c r="I127" s="55" t="s">
        <v>139</v>
      </c>
      <c r="J127" s="55" t="s">
        <v>136</v>
      </c>
      <c r="K127" s="55" t="b">
        <v>0</v>
      </c>
      <c r="L127" s="56">
        <v>45877.907546296286</v>
      </c>
      <c r="O127" s="55">
        <v>0</v>
      </c>
      <c r="P127" s="56">
        <v>44972.499664351853</v>
      </c>
      <c r="Q127" s="56">
        <v>45882.644953703697</v>
      </c>
      <c r="R127" s="57">
        <v>4</v>
      </c>
      <c r="S127" s="55" t="s">
        <v>140</v>
      </c>
      <c r="T127" s="57">
        <v>16384</v>
      </c>
      <c r="U127" s="55">
        <v>1802</v>
      </c>
      <c r="V127" s="55">
        <v>3</v>
      </c>
      <c r="W127" s="55">
        <v>3</v>
      </c>
      <c r="X127" s="58">
        <v>327680</v>
      </c>
      <c r="Z127" s="55" t="s">
        <v>177</v>
      </c>
      <c r="AA127" s="55" t="s">
        <v>142</v>
      </c>
      <c r="AC127" s="55" t="b">
        <v>1</v>
      </c>
      <c r="AD127" s="55" t="b">
        <v>1</v>
      </c>
      <c r="AE127" s="55" t="s">
        <v>1715</v>
      </c>
      <c r="AF127" s="55" t="s">
        <v>1692</v>
      </c>
      <c r="AG127" s="55" t="s">
        <v>145</v>
      </c>
      <c r="AH127" s="55" t="s">
        <v>146</v>
      </c>
      <c r="AN127" s="55">
        <v>1</v>
      </c>
      <c r="AO127" s="55">
        <v>8192</v>
      </c>
      <c r="AP127" s="55" t="s">
        <v>147</v>
      </c>
      <c r="AQ127" s="55" t="s">
        <v>317</v>
      </c>
      <c r="AR127" s="55" t="s">
        <v>318</v>
      </c>
      <c r="AT127" s="55" t="b">
        <v>1</v>
      </c>
      <c r="AU127" s="55" t="s">
        <v>150</v>
      </c>
      <c r="AW127" s="55" t="s">
        <v>151</v>
      </c>
      <c r="AX127" s="55">
        <v>-1</v>
      </c>
      <c r="AY127" s="55">
        <v>-1</v>
      </c>
      <c r="BA127" s="55">
        <v>344260</v>
      </c>
      <c r="BB127" s="55">
        <v>344260</v>
      </c>
      <c r="BC127" s="55">
        <v>327680</v>
      </c>
      <c r="BD127" s="55" t="s">
        <v>152</v>
      </c>
      <c r="BE127" s="55" t="s">
        <v>153</v>
      </c>
      <c r="BF127" s="55" t="s">
        <v>154</v>
      </c>
      <c r="BI127" s="55" t="b">
        <v>0</v>
      </c>
      <c r="BJ127" s="55">
        <v>0</v>
      </c>
      <c r="BK127" s="55">
        <v>10000</v>
      </c>
      <c r="BL127" s="55" t="b">
        <v>0</v>
      </c>
      <c r="BM127" s="55" t="b">
        <v>0</v>
      </c>
      <c r="BO127" s="55" t="b">
        <v>1</v>
      </c>
      <c r="BP127" s="55" t="s">
        <v>236</v>
      </c>
      <c r="BQ127" s="55">
        <v>19</v>
      </c>
      <c r="BR127" s="55" t="s">
        <v>153</v>
      </c>
      <c r="BS127" s="55" t="s">
        <v>156</v>
      </c>
      <c r="BU127" s="55" t="s">
        <v>1716</v>
      </c>
      <c r="BV127" s="55" t="s">
        <v>1717</v>
      </c>
      <c r="BW127" s="55" t="s">
        <v>1717</v>
      </c>
      <c r="BX127" s="55" t="s">
        <v>1717</v>
      </c>
      <c r="BY127" s="55" t="s">
        <v>239</v>
      </c>
      <c r="BZ127" s="55" t="s">
        <v>1718</v>
      </c>
      <c r="CA127" s="55" t="s">
        <v>1719</v>
      </c>
      <c r="CB127" s="55" t="s">
        <v>1720</v>
      </c>
      <c r="CE127" s="55" t="s">
        <v>1697</v>
      </c>
      <c r="CI127" s="55" t="s">
        <v>161</v>
      </c>
      <c r="CJ127" s="55" t="s">
        <v>162</v>
      </c>
      <c r="CK127" s="55" t="s">
        <v>304</v>
      </c>
      <c r="CL127" s="55" t="s">
        <v>213</v>
      </c>
      <c r="CM127" s="55" t="s">
        <v>213</v>
      </c>
      <c r="CN127" s="55" t="s">
        <v>166</v>
      </c>
      <c r="CP127" s="55" t="s">
        <v>1720</v>
      </c>
      <c r="CQ127" s="55" t="s">
        <v>1721</v>
      </c>
      <c r="CR127" s="55" t="s">
        <v>1722</v>
      </c>
      <c r="CS127" s="55" t="s">
        <v>170</v>
      </c>
      <c r="CT127" s="55" t="s">
        <v>171</v>
      </c>
      <c r="CU127" s="55" t="s">
        <v>172</v>
      </c>
      <c r="CV127" s="55" t="s">
        <v>173</v>
      </c>
    </row>
    <row r="128" spans="1:100">
      <c r="A128" s="55" t="s">
        <v>1723</v>
      </c>
      <c r="B128" s="55" t="s">
        <v>1724</v>
      </c>
      <c r="C128" s="55" t="s">
        <v>135</v>
      </c>
      <c r="D128" s="55" t="b">
        <v>0</v>
      </c>
      <c r="E128" s="55" t="b">
        <v>0</v>
      </c>
      <c r="F128" s="55" t="s">
        <v>136</v>
      </c>
      <c r="G128" s="55" t="s">
        <v>1725</v>
      </c>
      <c r="H128" s="55" t="s">
        <v>138</v>
      </c>
      <c r="I128" s="55" t="s">
        <v>139</v>
      </c>
      <c r="J128" s="55" t="s">
        <v>136</v>
      </c>
      <c r="K128" s="55" t="b">
        <v>0</v>
      </c>
      <c r="L128" s="56">
        <v>45774.084768518522</v>
      </c>
      <c r="O128" s="55">
        <v>0</v>
      </c>
      <c r="P128" s="56">
        <v>44970.700520833343</v>
      </c>
      <c r="Q128" s="56">
        <v>45901.446886574071</v>
      </c>
      <c r="R128" s="57">
        <v>8</v>
      </c>
      <c r="S128" s="55" t="s">
        <v>140</v>
      </c>
      <c r="T128" s="57">
        <v>30720</v>
      </c>
      <c r="U128" s="55">
        <v>7680</v>
      </c>
      <c r="V128" s="55">
        <v>4</v>
      </c>
      <c r="W128" s="55">
        <v>4</v>
      </c>
      <c r="X128" s="58">
        <v>822272</v>
      </c>
      <c r="Z128" s="55" t="s">
        <v>177</v>
      </c>
      <c r="AA128" s="55" t="s">
        <v>142</v>
      </c>
      <c r="AD128" s="55" t="b">
        <v>1</v>
      </c>
      <c r="AE128" s="55" t="s">
        <v>1726</v>
      </c>
      <c r="AF128" s="55" t="s">
        <v>1692</v>
      </c>
      <c r="AG128" s="55" t="s">
        <v>145</v>
      </c>
      <c r="AH128" s="55" t="s">
        <v>146</v>
      </c>
      <c r="AI128" s="55" t="s">
        <v>1727</v>
      </c>
      <c r="AN128" s="55">
        <v>1</v>
      </c>
      <c r="AO128" s="55">
        <v>4096</v>
      </c>
      <c r="AP128" s="55" t="s">
        <v>147</v>
      </c>
      <c r="AQ128" s="55" t="s">
        <v>317</v>
      </c>
      <c r="AR128" s="55" t="s">
        <v>318</v>
      </c>
      <c r="AT128" s="55" t="b">
        <v>1</v>
      </c>
      <c r="AU128" s="55" t="s">
        <v>150</v>
      </c>
      <c r="AW128" s="55" t="s">
        <v>151</v>
      </c>
      <c r="AX128" s="55">
        <v>-1</v>
      </c>
      <c r="AY128" s="55">
        <v>-1</v>
      </c>
      <c r="BA128" s="55">
        <v>853117</v>
      </c>
      <c r="BB128" s="55">
        <v>853117</v>
      </c>
      <c r="BC128" s="55">
        <v>822272</v>
      </c>
      <c r="BD128" s="55" t="s">
        <v>152</v>
      </c>
      <c r="BE128" s="55" t="s">
        <v>153</v>
      </c>
      <c r="BF128" s="55" t="s">
        <v>154</v>
      </c>
      <c r="BI128" s="55" t="b">
        <v>0</v>
      </c>
      <c r="BJ128" s="55">
        <v>0</v>
      </c>
      <c r="BK128" s="55">
        <v>10000</v>
      </c>
      <c r="BL128" s="55" t="b">
        <v>0</v>
      </c>
      <c r="BM128" s="55" t="b">
        <v>0</v>
      </c>
      <c r="BO128" s="55" t="b">
        <v>0</v>
      </c>
      <c r="BP128" s="55" t="s">
        <v>155</v>
      </c>
      <c r="BQ128" s="55">
        <v>19</v>
      </c>
      <c r="BR128" s="55" t="s">
        <v>153</v>
      </c>
      <c r="BS128" s="55" t="s">
        <v>156</v>
      </c>
      <c r="BU128" s="55" t="s">
        <v>1728</v>
      </c>
      <c r="BV128" s="55" t="s">
        <v>1729</v>
      </c>
      <c r="BW128" s="55" t="s">
        <v>1729</v>
      </c>
      <c r="BX128" s="55" t="s">
        <v>1729</v>
      </c>
      <c r="BZ128" s="55" t="s">
        <v>1730</v>
      </c>
      <c r="CA128" s="55" t="s">
        <v>1731</v>
      </c>
      <c r="CB128" s="55" t="s">
        <v>1732</v>
      </c>
      <c r="CI128" s="55" t="s">
        <v>161</v>
      </c>
      <c r="CJ128" s="55" t="s">
        <v>162</v>
      </c>
      <c r="CK128" s="55" t="s">
        <v>1733</v>
      </c>
      <c r="CL128" s="55" t="s">
        <v>479</v>
      </c>
      <c r="CM128" s="55" t="s">
        <v>479</v>
      </c>
      <c r="CN128" s="55" t="s">
        <v>166</v>
      </c>
      <c r="CP128" s="55" t="s">
        <v>1732</v>
      </c>
      <c r="CQ128" s="55" t="s">
        <v>1734</v>
      </c>
      <c r="CR128" s="55" t="s">
        <v>1735</v>
      </c>
      <c r="CS128" s="55" t="s">
        <v>170</v>
      </c>
      <c r="CT128" s="55" t="s">
        <v>171</v>
      </c>
      <c r="CU128" s="55" t="s">
        <v>172</v>
      </c>
      <c r="CV128" s="55" t="s">
        <v>173</v>
      </c>
    </row>
    <row r="129" spans="1:100">
      <c r="A129" s="55" t="s">
        <v>1736</v>
      </c>
      <c r="B129" s="55" t="s">
        <v>1737</v>
      </c>
      <c r="C129" s="55" t="s">
        <v>135</v>
      </c>
      <c r="D129" s="55" t="b">
        <v>0</v>
      </c>
      <c r="E129" s="55" t="b">
        <v>0</v>
      </c>
      <c r="F129" s="55" t="s">
        <v>136</v>
      </c>
      <c r="G129" s="55" t="s">
        <v>1738</v>
      </c>
      <c r="H129" s="55" t="s">
        <v>138</v>
      </c>
      <c r="I129" s="55" t="s">
        <v>139</v>
      </c>
      <c r="J129" s="55" t="s">
        <v>136</v>
      </c>
      <c r="K129" s="55" t="b">
        <v>0</v>
      </c>
      <c r="L129" s="56">
        <v>45857.837511574071</v>
      </c>
      <c r="O129" s="55">
        <v>0</v>
      </c>
      <c r="P129" s="56">
        <v>44970.533506944441</v>
      </c>
      <c r="Q129" s="56">
        <v>45896.630162037043</v>
      </c>
      <c r="R129" s="57">
        <v>4</v>
      </c>
      <c r="S129" s="55" t="s">
        <v>140</v>
      </c>
      <c r="T129" s="57">
        <v>12288</v>
      </c>
      <c r="U129" s="55">
        <v>1597</v>
      </c>
      <c r="V129" s="55">
        <v>3</v>
      </c>
      <c r="W129" s="55">
        <v>3</v>
      </c>
      <c r="X129" s="58">
        <v>327680</v>
      </c>
      <c r="Z129" s="55" t="s">
        <v>177</v>
      </c>
      <c r="AA129" s="55" t="s">
        <v>142</v>
      </c>
      <c r="AC129" s="55" t="b">
        <v>1</v>
      </c>
      <c r="AD129" s="55" t="b">
        <v>1</v>
      </c>
      <c r="AE129" s="55" t="s">
        <v>1739</v>
      </c>
      <c r="AF129" s="55" t="s">
        <v>1692</v>
      </c>
      <c r="AG129" s="55" t="s">
        <v>145</v>
      </c>
      <c r="AH129" s="55" t="s">
        <v>146</v>
      </c>
      <c r="AN129" s="55">
        <v>1</v>
      </c>
      <c r="AO129" s="55">
        <v>8192</v>
      </c>
      <c r="AP129" s="55" t="s">
        <v>147</v>
      </c>
      <c r="AQ129" s="55" t="s">
        <v>317</v>
      </c>
      <c r="AR129" s="55" t="s">
        <v>318</v>
      </c>
      <c r="AT129" s="55" t="b">
        <v>1</v>
      </c>
      <c r="AU129" s="55" t="s">
        <v>150</v>
      </c>
      <c r="AW129" s="55" t="s">
        <v>151</v>
      </c>
      <c r="AX129" s="55">
        <v>-1</v>
      </c>
      <c r="AY129" s="55">
        <v>-1</v>
      </c>
      <c r="BA129" s="55">
        <v>340159</v>
      </c>
      <c r="BB129" s="55">
        <v>340159</v>
      </c>
      <c r="BC129" s="55">
        <v>327680</v>
      </c>
      <c r="BD129" s="55" t="s">
        <v>152</v>
      </c>
      <c r="BE129" s="55" t="s">
        <v>153</v>
      </c>
      <c r="BF129" s="55" t="s">
        <v>154</v>
      </c>
      <c r="BI129" s="55" t="b">
        <v>0</v>
      </c>
      <c r="BJ129" s="55">
        <v>0</v>
      </c>
      <c r="BK129" s="55">
        <v>10000</v>
      </c>
      <c r="BL129" s="55" t="b">
        <v>0</v>
      </c>
      <c r="BM129" s="55" t="b">
        <v>0</v>
      </c>
      <c r="BO129" s="55" t="b">
        <v>1</v>
      </c>
      <c r="BP129" s="55" t="s">
        <v>236</v>
      </c>
      <c r="BQ129" s="55">
        <v>19</v>
      </c>
      <c r="BR129" s="55" t="s">
        <v>153</v>
      </c>
      <c r="BS129" s="55" t="s">
        <v>156</v>
      </c>
      <c r="BU129" s="55" t="s">
        <v>1740</v>
      </c>
      <c r="BV129" s="55" t="s">
        <v>1741</v>
      </c>
      <c r="BW129" s="55" t="s">
        <v>1741</v>
      </c>
      <c r="BX129" s="55" t="s">
        <v>1741</v>
      </c>
      <c r="BY129" s="55" t="s">
        <v>239</v>
      </c>
      <c r="BZ129" s="55" t="s">
        <v>1742</v>
      </c>
      <c r="CA129" s="55" t="s">
        <v>1743</v>
      </c>
      <c r="CB129" s="55" t="s">
        <v>1744</v>
      </c>
      <c r="CE129" s="55" t="s">
        <v>1697</v>
      </c>
      <c r="CI129" s="55" t="s">
        <v>161</v>
      </c>
      <c r="CJ129" s="55" t="s">
        <v>162</v>
      </c>
      <c r="CK129" s="55" t="s">
        <v>198</v>
      </c>
      <c r="CL129" s="55" t="s">
        <v>213</v>
      </c>
      <c r="CM129" s="55" t="s">
        <v>213</v>
      </c>
      <c r="CN129" s="55" t="s">
        <v>166</v>
      </c>
      <c r="CP129" s="55" t="s">
        <v>1744</v>
      </c>
      <c r="CQ129" s="55" t="s">
        <v>1745</v>
      </c>
      <c r="CR129" s="55" t="s">
        <v>1746</v>
      </c>
      <c r="CS129" s="55" t="s">
        <v>170</v>
      </c>
      <c r="CT129" s="55" t="s">
        <v>171</v>
      </c>
      <c r="CU129" s="55" t="s">
        <v>172</v>
      </c>
      <c r="CV129" s="55" t="s">
        <v>173</v>
      </c>
    </row>
    <row r="130" spans="1:100">
      <c r="A130" s="55" t="s">
        <v>1747</v>
      </c>
      <c r="B130" s="55" t="s">
        <v>1748</v>
      </c>
      <c r="C130" s="55" t="s">
        <v>135</v>
      </c>
      <c r="D130" s="55" t="b">
        <v>0</v>
      </c>
      <c r="E130" s="55" t="b">
        <v>0</v>
      </c>
      <c r="F130" s="55" t="s">
        <v>136</v>
      </c>
      <c r="H130" s="55" t="s">
        <v>138</v>
      </c>
      <c r="I130" s="55" t="s">
        <v>474</v>
      </c>
      <c r="J130" s="55" t="s">
        <v>151</v>
      </c>
      <c r="K130" s="55" t="b">
        <v>0</v>
      </c>
      <c r="L130" s="56">
        <v>45870.650856481479</v>
      </c>
      <c r="O130" s="55">
        <v>0</v>
      </c>
      <c r="P130" s="56">
        <v>44972.504710648151</v>
      </c>
      <c r="Q130" s="56">
        <v>45872.056875000002</v>
      </c>
      <c r="R130" s="57">
        <v>4</v>
      </c>
      <c r="S130" s="55" t="s">
        <v>140</v>
      </c>
      <c r="T130" s="57">
        <v>16384</v>
      </c>
      <c r="U130" s="55">
        <v>1638</v>
      </c>
      <c r="V130" s="55">
        <v>3</v>
      </c>
      <c r="W130" s="55">
        <v>3</v>
      </c>
      <c r="X130" s="58">
        <v>327680</v>
      </c>
      <c r="Z130" s="55" t="s">
        <v>177</v>
      </c>
      <c r="AA130" s="55" t="s">
        <v>142</v>
      </c>
      <c r="AC130" s="55" t="b">
        <v>1</v>
      </c>
      <c r="AD130" s="55" t="b">
        <v>1</v>
      </c>
      <c r="AF130" s="55" t="s">
        <v>1692</v>
      </c>
      <c r="AG130" s="55" t="s">
        <v>145</v>
      </c>
      <c r="AH130" s="55" t="s">
        <v>146</v>
      </c>
      <c r="AN130" s="55">
        <v>1</v>
      </c>
      <c r="AO130" s="55">
        <v>8192</v>
      </c>
      <c r="AP130" s="55" t="s">
        <v>147</v>
      </c>
      <c r="AQ130" s="55" t="s">
        <v>148</v>
      </c>
      <c r="AR130" s="55" t="s">
        <v>149</v>
      </c>
      <c r="AT130" s="55" t="b">
        <v>1</v>
      </c>
      <c r="AU130" s="55" t="s">
        <v>150</v>
      </c>
      <c r="AW130" s="55" t="s">
        <v>151</v>
      </c>
      <c r="AX130" s="55">
        <v>-1</v>
      </c>
      <c r="AY130" s="55">
        <v>-1</v>
      </c>
      <c r="BA130" s="55">
        <v>344165</v>
      </c>
      <c r="BB130" s="55">
        <v>344165</v>
      </c>
      <c r="BC130" s="55">
        <v>327680</v>
      </c>
      <c r="BD130" s="55" t="s">
        <v>152</v>
      </c>
      <c r="BE130" s="55" t="s">
        <v>153</v>
      </c>
      <c r="BF130" s="55" t="s">
        <v>154</v>
      </c>
      <c r="BI130" s="55" t="b">
        <v>0</v>
      </c>
      <c r="BJ130" s="55">
        <v>0</v>
      </c>
      <c r="BK130" s="55">
        <v>10000</v>
      </c>
      <c r="BL130" s="55" t="b">
        <v>0</v>
      </c>
      <c r="BM130" s="55" t="b">
        <v>0</v>
      </c>
      <c r="BO130" s="55" t="b">
        <v>1</v>
      </c>
      <c r="BP130" s="55" t="s">
        <v>236</v>
      </c>
      <c r="BQ130" s="55">
        <v>19</v>
      </c>
      <c r="BR130" s="55" t="s">
        <v>153</v>
      </c>
      <c r="BS130" s="55" t="s">
        <v>156</v>
      </c>
      <c r="BU130" s="55" t="s">
        <v>1749</v>
      </c>
      <c r="BV130" s="55" t="s">
        <v>1750</v>
      </c>
      <c r="BW130" s="55" t="s">
        <v>1750</v>
      </c>
      <c r="BX130" s="55" t="s">
        <v>1750</v>
      </c>
      <c r="BY130" s="55" t="s">
        <v>239</v>
      </c>
      <c r="BZ130" s="55" t="s">
        <v>1751</v>
      </c>
      <c r="CA130" s="55" t="s">
        <v>1752</v>
      </c>
      <c r="CE130" s="55" t="s">
        <v>1697</v>
      </c>
      <c r="CI130" s="55" t="s">
        <v>161</v>
      </c>
      <c r="CJ130" s="55" t="s">
        <v>162</v>
      </c>
      <c r="CK130" s="55" t="s">
        <v>304</v>
      </c>
      <c r="CL130" s="55" t="s">
        <v>213</v>
      </c>
      <c r="CN130" s="55" t="s">
        <v>166</v>
      </c>
      <c r="CP130" s="55" t="s">
        <v>1753</v>
      </c>
      <c r="CQ130" s="55" t="s">
        <v>1754</v>
      </c>
      <c r="CR130" s="55" t="s">
        <v>1755</v>
      </c>
      <c r="CS130" s="55" t="s">
        <v>170</v>
      </c>
      <c r="CT130" s="55" t="s">
        <v>171</v>
      </c>
      <c r="CU130" s="55" t="s">
        <v>172</v>
      </c>
      <c r="CV130" s="55" t="s">
        <v>173</v>
      </c>
    </row>
    <row r="131" spans="1:100">
      <c r="A131" s="55" t="s">
        <v>1756</v>
      </c>
      <c r="B131" s="55" t="s">
        <v>1757</v>
      </c>
      <c r="C131" s="55" t="s">
        <v>135</v>
      </c>
      <c r="D131" s="55" t="b">
        <v>0</v>
      </c>
      <c r="E131" s="55" t="b">
        <v>0</v>
      </c>
      <c r="F131" s="55" t="s">
        <v>136</v>
      </c>
      <c r="G131" s="55" t="s">
        <v>1758</v>
      </c>
      <c r="H131" s="55" t="s">
        <v>138</v>
      </c>
      <c r="I131" s="55" t="s">
        <v>139</v>
      </c>
      <c r="J131" s="55" t="s">
        <v>136</v>
      </c>
      <c r="K131" s="55" t="b">
        <v>0</v>
      </c>
      <c r="L131" s="56">
        <v>45884.711944444447</v>
      </c>
      <c r="O131" s="55">
        <v>0</v>
      </c>
      <c r="P131" s="56">
        <v>44972.512997685182</v>
      </c>
      <c r="Q131" s="56">
        <v>45900.349409722221</v>
      </c>
      <c r="R131" s="57">
        <v>4</v>
      </c>
      <c r="S131" s="55" t="s">
        <v>140</v>
      </c>
      <c r="T131" s="57">
        <v>12288</v>
      </c>
      <c r="U131" s="55">
        <v>614</v>
      </c>
      <c r="V131" s="55">
        <v>3</v>
      </c>
      <c r="W131" s="55">
        <v>3</v>
      </c>
      <c r="X131" s="58">
        <v>327680</v>
      </c>
      <c r="Z131" s="55" t="s">
        <v>141</v>
      </c>
      <c r="AA131" s="55" t="s">
        <v>142</v>
      </c>
      <c r="AC131" s="55" t="b">
        <v>1</v>
      </c>
      <c r="AD131" s="55" t="b">
        <v>1</v>
      </c>
      <c r="AE131" s="55" t="s">
        <v>1759</v>
      </c>
      <c r="AF131" s="55" t="s">
        <v>1692</v>
      </c>
      <c r="AG131" s="55" t="s">
        <v>145</v>
      </c>
      <c r="AH131" s="55" t="s">
        <v>146</v>
      </c>
      <c r="AN131" s="55">
        <v>1</v>
      </c>
      <c r="AO131" s="55">
        <v>8192</v>
      </c>
      <c r="AP131" s="55" t="s">
        <v>147</v>
      </c>
      <c r="AQ131" s="55" t="s">
        <v>148</v>
      </c>
      <c r="AR131" s="55" t="s">
        <v>149</v>
      </c>
      <c r="AT131" s="55" t="b">
        <v>1</v>
      </c>
      <c r="AU131" s="55" t="s">
        <v>150</v>
      </c>
      <c r="AW131" s="55" t="s">
        <v>151</v>
      </c>
      <c r="AX131" s="55">
        <v>-1</v>
      </c>
      <c r="AY131" s="55">
        <v>-1</v>
      </c>
      <c r="BA131" s="55">
        <v>340197</v>
      </c>
      <c r="BB131" s="55">
        <v>340197</v>
      </c>
      <c r="BC131" s="55">
        <v>327680</v>
      </c>
      <c r="BD131" s="55" t="s">
        <v>152</v>
      </c>
      <c r="BE131" s="55" t="s">
        <v>153</v>
      </c>
      <c r="BF131" s="55" t="s">
        <v>154</v>
      </c>
      <c r="BI131" s="55" t="b">
        <v>0</v>
      </c>
      <c r="BJ131" s="55">
        <v>0</v>
      </c>
      <c r="BK131" s="55">
        <v>10000</v>
      </c>
      <c r="BL131" s="55" t="b">
        <v>0</v>
      </c>
      <c r="BM131" s="55" t="b">
        <v>0</v>
      </c>
      <c r="BO131" s="55" t="b">
        <v>1</v>
      </c>
      <c r="BP131" s="55" t="s">
        <v>236</v>
      </c>
      <c r="BQ131" s="55">
        <v>19</v>
      </c>
      <c r="BR131" s="55" t="s">
        <v>153</v>
      </c>
      <c r="BS131" s="55" t="s">
        <v>156</v>
      </c>
      <c r="BU131" s="55" t="s">
        <v>1760</v>
      </c>
      <c r="BV131" s="55" t="s">
        <v>1761</v>
      </c>
      <c r="BW131" s="55" t="s">
        <v>1761</v>
      </c>
      <c r="BX131" s="55" t="s">
        <v>1761</v>
      </c>
      <c r="BY131" s="55" t="s">
        <v>239</v>
      </c>
      <c r="BZ131" s="55" t="s">
        <v>1762</v>
      </c>
      <c r="CA131" s="55" t="s">
        <v>1763</v>
      </c>
      <c r="CE131" s="55" t="s">
        <v>1697</v>
      </c>
      <c r="CI131" s="55" t="s">
        <v>161</v>
      </c>
      <c r="CJ131" s="55" t="s">
        <v>162</v>
      </c>
      <c r="CK131" s="55" t="s">
        <v>198</v>
      </c>
      <c r="CL131" s="55" t="s">
        <v>213</v>
      </c>
      <c r="CM131" s="55" t="s">
        <v>213</v>
      </c>
      <c r="CN131" s="55" t="s">
        <v>166</v>
      </c>
      <c r="CP131" s="55" t="s">
        <v>1764</v>
      </c>
      <c r="CQ131" s="55" t="s">
        <v>1765</v>
      </c>
      <c r="CR131" s="55" t="s">
        <v>1766</v>
      </c>
      <c r="CS131" s="55" t="s">
        <v>170</v>
      </c>
      <c r="CT131" s="55" t="s">
        <v>171</v>
      </c>
      <c r="CU131" s="55" t="s">
        <v>172</v>
      </c>
      <c r="CV131" s="55" t="s">
        <v>173</v>
      </c>
    </row>
    <row r="132" spans="1:100">
      <c r="A132" s="55" t="s">
        <v>1767</v>
      </c>
      <c r="B132" s="55" t="s">
        <v>1768</v>
      </c>
      <c r="C132" s="55" t="s">
        <v>135</v>
      </c>
      <c r="D132" s="55" t="b">
        <v>0</v>
      </c>
      <c r="E132" s="55" t="b">
        <v>0</v>
      </c>
      <c r="F132" s="55" t="s">
        <v>136</v>
      </c>
      <c r="G132" s="55" t="s">
        <v>1769</v>
      </c>
      <c r="H132" s="55" t="s">
        <v>138</v>
      </c>
      <c r="I132" s="55" t="s">
        <v>139</v>
      </c>
      <c r="J132" s="55" t="s">
        <v>136</v>
      </c>
      <c r="K132" s="55" t="b">
        <v>0</v>
      </c>
      <c r="L132" s="56">
        <v>45846.588819444441</v>
      </c>
      <c r="O132" s="55">
        <v>0</v>
      </c>
      <c r="P132" s="56">
        <v>45054.697418981479</v>
      </c>
      <c r="Q132" s="56">
        <v>45889.512719907398</v>
      </c>
      <c r="R132" s="57">
        <v>6</v>
      </c>
      <c r="S132" s="55" t="s">
        <v>140</v>
      </c>
      <c r="T132" s="57">
        <v>24576</v>
      </c>
      <c r="U132" s="55">
        <v>1474</v>
      </c>
      <c r="V132" s="55">
        <v>3</v>
      </c>
      <c r="W132" s="55">
        <v>3</v>
      </c>
      <c r="X132" s="58">
        <v>1181696</v>
      </c>
      <c r="Z132" s="55" t="s">
        <v>1326</v>
      </c>
      <c r="AA132" s="55" t="s">
        <v>142</v>
      </c>
      <c r="AC132" s="55" t="b">
        <v>1</v>
      </c>
      <c r="AD132" s="55" t="b">
        <v>1</v>
      </c>
      <c r="AE132" s="55" t="s">
        <v>1770</v>
      </c>
      <c r="AF132" s="55" t="s">
        <v>1771</v>
      </c>
      <c r="AG132" s="55" t="s">
        <v>1330</v>
      </c>
      <c r="AH132" s="55" t="s">
        <v>1772</v>
      </c>
      <c r="AN132" s="55">
        <v>1</v>
      </c>
      <c r="AO132" s="55">
        <v>16384</v>
      </c>
      <c r="AP132" s="55" t="s">
        <v>1331</v>
      </c>
      <c r="AQ132" s="55" t="s">
        <v>853</v>
      </c>
      <c r="AR132" s="55" t="s">
        <v>854</v>
      </c>
      <c r="AT132" s="55" t="b">
        <v>1</v>
      </c>
      <c r="AU132" s="55" t="s">
        <v>150</v>
      </c>
      <c r="AW132" s="55" t="s">
        <v>151</v>
      </c>
      <c r="AX132" s="55">
        <v>-1</v>
      </c>
      <c r="AY132" s="55">
        <v>-1</v>
      </c>
      <c r="BA132" s="55">
        <v>1206381</v>
      </c>
      <c r="BB132" s="55">
        <v>1206381</v>
      </c>
      <c r="BC132" s="55">
        <v>1181696</v>
      </c>
      <c r="BD132" s="55" t="s">
        <v>152</v>
      </c>
      <c r="BE132" s="55" t="s">
        <v>153</v>
      </c>
      <c r="BF132" s="55" t="s">
        <v>154</v>
      </c>
      <c r="BI132" s="55" t="b">
        <v>0</v>
      </c>
      <c r="BJ132" s="55">
        <v>0</v>
      </c>
      <c r="BK132" s="55">
        <v>10000</v>
      </c>
      <c r="BL132" s="55" t="b">
        <v>0</v>
      </c>
      <c r="BM132" s="55" t="b">
        <v>0</v>
      </c>
      <c r="BO132" s="55" t="b">
        <v>0</v>
      </c>
      <c r="BP132" s="55" t="s">
        <v>155</v>
      </c>
      <c r="BQ132" s="55">
        <v>19</v>
      </c>
      <c r="BR132" s="55" t="s">
        <v>153</v>
      </c>
      <c r="BS132" s="55" t="s">
        <v>156</v>
      </c>
      <c r="BU132" s="55" t="s">
        <v>1773</v>
      </c>
      <c r="BV132" s="55" t="s">
        <v>1774</v>
      </c>
      <c r="BW132" s="55" t="s">
        <v>1774</v>
      </c>
      <c r="BX132" s="55" t="s">
        <v>1774</v>
      </c>
      <c r="BZ132" s="55" t="s">
        <v>1775</v>
      </c>
      <c r="CA132" s="55" t="s">
        <v>1776</v>
      </c>
      <c r="CI132" s="55" t="s">
        <v>161</v>
      </c>
      <c r="CJ132" s="55" t="s">
        <v>1340</v>
      </c>
      <c r="CK132" s="55" t="s">
        <v>1594</v>
      </c>
      <c r="CL132" s="55" t="s">
        <v>683</v>
      </c>
      <c r="CM132" s="55" t="s">
        <v>683</v>
      </c>
      <c r="CN132" s="55" t="s">
        <v>166</v>
      </c>
      <c r="CP132" s="55" t="s">
        <v>1777</v>
      </c>
      <c r="CQ132" s="55" t="s">
        <v>1778</v>
      </c>
      <c r="CR132" s="55" t="s">
        <v>1779</v>
      </c>
      <c r="CS132" s="55" t="s">
        <v>170</v>
      </c>
      <c r="CT132" s="55" t="s">
        <v>171</v>
      </c>
      <c r="CU132" s="55" t="s">
        <v>172</v>
      </c>
      <c r="CV132" s="55" t="s">
        <v>173</v>
      </c>
    </row>
    <row r="133" spans="1:100">
      <c r="A133" s="55" t="s">
        <v>1780</v>
      </c>
      <c r="B133" s="55" t="s">
        <v>1781</v>
      </c>
      <c r="C133" s="55" t="s">
        <v>135</v>
      </c>
      <c r="D133" s="55" t="b">
        <v>0</v>
      </c>
      <c r="E133" s="55" t="b">
        <v>0</v>
      </c>
      <c r="F133" s="55" t="s">
        <v>136</v>
      </c>
      <c r="G133" s="55" t="s">
        <v>1782</v>
      </c>
      <c r="H133" s="55" t="s">
        <v>138</v>
      </c>
      <c r="I133" s="55" t="s">
        <v>139</v>
      </c>
      <c r="J133" s="55" t="s">
        <v>151</v>
      </c>
      <c r="K133" s="55" t="b">
        <v>0</v>
      </c>
      <c r="L133" s="56">
        <v>45774.096064814818</v>
      </c>
      <c r="O133" s="55">
        <v>0</v>
      </c>
      <c r="P133" s="56">
        <v>45119.778738425928</v>
      </c>
      <c r="Q133" s="56">
        <v>45902.144629629627</v>
      </c>
      <c r="R133" s="57">
        <v>8</v>
      </c>
      <c r="S133" s="55" t="s">
        <v>140</v>
      </c>
      <c r="T133" s="57">
        <v>12288</v>
      </c>
      <c r="U133" s="55">
        <v>1966</v>
      </c>
      <c r="V133" s="55">
        <v>4</v>
      </c>
      <c r="W133" s="55">
        <v>2</v>
      </c>
      <c r="X133" s="58">
        <v>207872</v>
      </c>
      <c r="Z133" s="55" t="s">
        <v>177</v>
      </c>
      <c r="AA133" s="55" t="s">
        <v>142</v>
      </c>
      <c r="AD133" s="55" t="b">
        <v>1</v>
      </c>
      <c r="AE133" s="55" t="s">
        <v>1783</v>
      </c>
      <c r="AF133" s="55" t="s">
        <v>1692</v>
      </c>
      <c r="AG133" s="55" t="s">
        <v>145</v>
      </c>
      <c r="AH133" s="55" t="s">
        <v>146</v>
      </c>
      <c r="AI133" s="55" t="s">
        <v>1727</v>
      </c>
      <c r="AN133" s="55">
        <v>1</v>
      </c>
      <c r="AO133" s="55">
        <v>4096</v>
      </c>
      <c r="AP133" s="55" t="s">
        <v>147</v>
      </c>
      <c r="AQ133" s="55" t="s">
        <v>317</v>
      </c>
      <c r="AR133" s="55" t="s">
        <v>318</v>
      </c>
      <c r="AT133" s="55" t="b">
        <v>1</v>
      </c>
      <c r="AU133" s="55" t="s">
        <v>150</v>
      </c>
      <c r="AW133" s="55" t="s">
        <v>151</v>
      </c>
      <c r="AX133" s="55">
        <v>-1</v>
      </c>
      <c r="AY133" s="55">
        <v>-1</v>
      </c>
      <c r="BA133" s="55">
        <v>220256</v>
      </c>
      <c r="BB133" s="55">
        <v>220256</v>
      </c>
      <c r="BC133" s="55">
        <v>207872</v>
      </c>
      <c r="BD133" s="55" t="s">
        <v>152</v>
      </c>
      <c r="BE133" s="55" t="s">
        <v>153</v>
      </c>
      <c r="BF133" s="55" t="s">
        <v>154</v>
      </c>
      <c r="BI133" s="55" t="b">
        <v>0</v>
      </c>
      <c r="BJ133" s="55">
        <v>0</v>
      </c>
      <c r="BK133" s="55">
        <v>10000</v>
      </c>
      <c r="BL133" s="55" t="b">
        <v>0</v>
      </c>
      <c r="BM133" s="55" t="b">
        <v>0</v>
      </c>
      <c r="BO133" s="55" t="b">
        <v>0</v>
      </c>
      <c r="BP133" s="55" t="s">
        <v>155</v>
      </c>
      <c r="BQ133" s="55">
        <v>19</v>
      </c>
      <c r="BR133" s="55" t="s">
        <v>153</v>
      </c>
      <c r="BS133" s="55" t="s">
        <v>156</v>
      </c>
      <c r="BU133" s="55" t="s">
        <v>1784</v>
      </c>
      <c r="BV133" s="55" t="s">
        <v>1785</v>
      </c>
      <c r="BW133" s="55" t="s">
        <v>1785</v>
      </c>
      <c r="BX133" s="55" t="s">
        <v>1785</v>
      </c>
      <c r="BZ133" s="55" t="s">
        <v>1786</v>
      </c>
      <c r="CA133" s="55" t="s">
        <v>1787</v>
      </c>
      <c r="CI133" s="55" t="s">
        <v>161</v>
      </c>
      <c r="CJ133" s="55" t="s">
        <v>162</v>
      </c>
      <c r="CK133" s="55" t="s">
        <v>183</v>
      </c>
      <c r="CL133" s="55" t="s">
        <v>479</v>
      </c>
      <c r="CM133" s="55" t="s">
        <v>479</v>
      </c>
      <c r="CN133" s="55" t="s">
        <v>166</v>
      </c>
      <c r="CP133" s="55" t="s">
        <v>1788</v>
      </c>
      <c r="CQ133" s="55" t="s">
        <v>1789</v>
      </c>
      <c r="CR133" s="55" t="s">
        <v>1790</v>
      </c>
      <c r="CS133" s="55" t="s">
        <v>170</v>
      </c>
      <c r="CT133" s="55" t="s">
        <v>171</v>
      </c>
      <c r="CU133" s="55" t="s">
        <v>172</v>
      </c>
      <c r="CV133" s="55" t="s">
        <v>173</v>
      </c>
    </row>
    <row r="134" spans="1:100">
      <c r="A134" s="55" t="s">
        <v>1791</v>
      </c>
      <c r="B134" s="55" t="s">
        <v>1792</v>
      </c>
      <c r="C134" s="55" t="s">
        <v>135</v>
      </c>
      <c r="D134" s="55" t="b">
        <v>0</v>
      </c>
      <c r="E134" s="55" t="b">
        <v>0</v>
      </c>
      <c r="F134" s="55" t="s">
        <v>136</v>
      </c>
      <c r="G134" s="55" t="s">
        <v>1793</v>
      </c>
      <c r="H134" s="55" t="s">
        <v>138</v>
      </c>
      <c r="I134" s="55" t="s">
        <v>139</v>
      </c>
      <c r="J134" s="55" t="s">
        <v>136</v>
      </c>
      <c r="K134" s="55" t="b">
        <v>0</v>
      </c>
      <c r="L134" s="56">
        <v>45774.096296296288</v>
      </c>
      <c r="O134" s="55">
        <v>0</v>
      </c>
      <c r="P134" s="56">
        <v>45124.831956018519</v>
      </c>
      <c r="Q134" s="56">
        <v>45901.842638888891</v>
      </c>
      <c r="R134" s="57">
        <v>8</v>
      </c>
      <c r="S134" s="55" t="s">
        <v>140</v>
      </c>
      <c r="T134" s="57">
        <v>12288</v>
      </c>
      <c r="U134" s="55">
        <v>1843</v>
      </c>
      <c r="V134" s="55">
        <v>4</v>
      </c>
      <c r="W134" s="55">
        <v>2</v>
      </c>
      <c r="X134" s="58">
        <v>207872</v>
      </c>
      <c r="Z134" s="55" t="s">
        <v>177</v>
      </c>
      <c r="AA134" s="55" t="s">
        <v>142</v>
      </c>
      <c r="AD134" s="55" t="b">
        <v>1</v>
      </c>
      <c r="AE134" s="55" t="s">
        <v>1794</v>
      </c>
      <c r="AF134" s="55" t="s">
        <v>1692</v>
      </c>
      <c r="AG134" s="55" t="s">
        <v>145</v>
      </c>
      <c r="AH134" s="55" t="s">
        <v>146</v>
      </c>
      <c r="AI134" s="55" t="s">
        <v>1727</v>
      </c>
      <c r="AN134" s="55">
        <v>1</v>
      </c>
      <c r="AO134" s="55">
        <v>4096</v>
      </c>
      <c r="AP134" s="55" t="s">
        <v>147</v>
      </c>
      <c r="AQ134" s="55" t="s">
        <v>317</v>
      </c>
      <c r="AR134" s="55" t="s">
        <v>318</v>
      </c>
      <c r="AT134" s="55" t="b">
        <v>1</v>
      </c>
      <c r="AU134" s="55" t="s">
        <v>150</v>
      </c>
      <c r="AW134" s="55" t="s">
        <v>151</v>
      </c>
      <c r="AX134" s="55">
        <v>-1</v>
      </c>
      <c r="AY134" s="55">
        <v>-1</v>
      </c>
      <c r="BA134" s="55">
        <v>220255</v>
      </c>
      <c r="BB134" s="55">
        <v>220255</v>
      </c>
      <c r="BC134" s="55">
        <v>207872</v>
      </c>
      <c r="BD134" s="55" t="s">
        <v>152</v>
      </c>
      <c r="BE134" s="55" t="s">
        <v>153</v>
      </c>
      <c r="BF134" s="55" t="s">
        <v>154</v>
      </c>
      <c r="BI134" s="55" t="b">
        <v>0</v>
      </c>
      <c r="BJ134" s="55">
        <v>0</v>
      </c>
      <c r="BK134" s="55">
        <v>10000</v>
      </c>
      <c r="BL134" s="55" t="b">
        <v>0</v>
      </c>
      <c r="BM134" s="55" t="b">
        <v>0</v>
      </c>
      <c r="BO134" s="55" t="b">
        <v>0</v>
      </c>
      <c r="BP134" s="55" t="s">
        <v>155</v>
      </c>
      <c r="BQ134" s="55">
        <v>19</v>
      </c>
      <c r="BR134" s="55" t="s">
        <v>153</v>
      </c>
      <c r="BS134" s="55" t="s">
        <v>156</v>
      </c>
      <c r="BU134" s="55" t="s">
        <v>1795</v>
      </c>
      <c r="BV134" s="55" t="s">
        <v>1796</v>
      </c>
      <c r="BW134" s="55" t="s">
        <v>1796</v>
      </c>
      <c r="BX134" s="55" t="s">
        <v>1796</v>
      </c>
      <c r="BZ134" s="55" t="s">
        <v>1797</v>
      </c>
      <c r="CA134" s="55" t="s">
        <v>1798</v>
      </c>
      <c r="CI134" s="55" t="s">
        <v>161</v>
      </c>
      <c r="CJ134" s="55" t="s">
        <v>162</v>
      </c>
      <c r="CK134" s="55" t="s">
        <v>183</v>
      </c>
      <c r="CL134" s="55" t="s">
        <v>479</v>
      </c>
      <c r="CM134" s="55" t="s">
        <v>479</v>
      </c>
      <c r="CN134" s="55" t="s">
        <v>166</v>
      </c>
      <c r="CP134" s="55" t="s">
        <v>1799</v>
      </c>
      <c r="CQ134" s="55" t="s">
        <v>1800</v>
      </c>
      <c r="CR134" s="55" t="s">
        <v>1801</v>
      </c>
      <c r="CS134" s="55" t="s">
        <v>170</v>
      </c>
      <c r="CT134" s="55" t="s">
        <v>171</v>
      </c>
      <c r="CU134" s="55" t="s">
        <v>172</v>
      </c>
      <c r="CV134" s="55" t="s">
        <v>173</v>
      </c>
    </row>
    <row r="135" spans="1:100">
      <c r="A135" s="55" t="s">
        <v>1802</v>
      </c>
      <c r="B135" s="55" t="s">
        <v>1803</v>
      </c>
      <c r="C135" s="55" t="s">
        <v>135</v>
      </c>
      <c r="D135" s="55" t="b">
        <v>0</v>
      </c>
      <c r="E135" s="55" t="b">
        <v>0</v>
      </c>
      <c r="F135" s="55" t="s">
        <v>136</v>
      </c>
      <c r="G135" s="55" t="s">
        <v>1804</v>
      </c>
      <c r="H135" s="55" t="s">
        <v>138</v>
      </c>
      <c r="I135" s="55" t="s">
        <v>139</v>
      </c>
      <c r="J135" s="55" t="s">
        <v>136</v>
      </c>
      <c r="K135" s="55" t="b">
        <v>0</v>
      </c>
      <c r="L135" s="56">
        <v>45774.096516203703</v>
      </c>
      <c r="O135" s="55">
        <v>0</v>
      </c>
      <c r="P135" s="56">
        <v>45124.834872685176</v>
      </c>
      <c r="Q135" s="56">
        <v>45898.782777777778</v>
      </c>
      <c r="R135" s="57">
        <v>8</v>
      </c>
      <c r="S135" s="55" t="s">
        <v>140</v>
      </c>
      <c r="T135" s="57">
        <v>12288</v>
      </c>
      <c r="U135" s="55">
        <v>860</v>
      </c>
      <c r="V135" s="55">
        <v>4</v>
      </c>
      <c r="W135" s="55">
        <v>2</v>
      </c>
      <c r="X135" s="58">
        <v>207872</v>
      </c>
      <c r="Z135" s="55" t="s">
        <v>141</v>
      </c>
      <c r="AA135" s="55" t="s">
        <v>142</v>
      </c>
      <c r="AD135" s="55" t="b">
        <v>1</v>
      </c>
      <c r="AE135" s="55" t="s">
        <v>1805</v>
      </c>
      <c r="AF135" s="55" t="s">
        <v>1692</v>
      </c>
      <c r="AG135" s="55" t="s">
        <v>145</v>
      </c>
      <c r="AH135" s="55" t="s">
        <v>146</v>
      </c>
      <c r="AI135" s="55" t="s">
        <v>1727</v>
      </c>
      <c r="AN135" s="55">
        <v>1</v>
      </c>
      <c r="AO135" s="55">
        <v>4096</v>
      </c>
      <c r="AP135" s="55" t="s">
        <v>147</v>
      </c>
      <c r="AQ135" s="55" t="s">
        <v>317</v>
      </c>
      <c r="AR135" s="55" t="s">
        <v>318</v>
      </c>
      <c r="AT135" s="55" t="b">
        <v>1</v>
      </c>
      <c r="AU135" s="55" t="s">
        <v>150</v>
      </c>
      <c r="AW135" s="55" t="s">
        <v>151</v>
      </c>
      <c r="AX135" s="55">
        <v>-1</v>
      </c>
      <c r="AY135" s="55">
        <v>-1</v>
      </c>
      <c r="BA135" s="55">
        <v>220255</v>
      </c>
      <c r="BB135" s="55">
        <v>220255</v>
      </c>
      <c r="BC135" s="55">
        <v>207872</v>
      </c>
      <c r="BD135" s="55" t="s">
        <v>152</v>
      </c>
      <c r="BE135" s="55" t="s">
        <v>153</v>
      </c>
      <c r="BF135" s="55" t="s">
        <v>154</v>
      </c>
      <c r="BI135" s="55" t="b">
        <v>0</v>
      </c>
      <c r="BJ135" s="55">
        <v>0</v>
      </c>
      <c r="BK135" s="55">
        <v>10000</v>
      </c>
      <c r="BL135" s="55" t="b">
        <v>0</v>
      </c>
      <c r="BM135" s="55" t="b">
        <v>0</v>
      </c>
      <c r="BO135" s="55" t="b">
        <v>0</v>
      </c>
      <c r="BP135" s="55" t="s">
        <v>155</v>
      </c>
      <c r="BQ135" s="55">
        <v>19</v>
      </c>
      <c r="BR135" s="55" t="s">
        <v>153</v>
      </c>
      <c r="BS135" s="55" t="s">
        <v>156</v>
      </c>
      <c r="BU135" s="55" t="s">
        <v>1806</v>
      </c>
      <c r="BV135" s="55" t="s">
        <v>1807</v>
      </c>
      <c r="BW135" s="55" t="s">
        <v>1807</v>
      </c>
      <c r="BX135" s="55" t="s">
        <v>1807</v>
      </c>
      <c r="BZ135" s="55" t="s">
        <v>1808</v>
      </c>
      <c r="CA135" s="55" t="s">
        <v>1809</v>
      </c>
      <c r="CI135" s="55" t="s">
        <v>161</v>
      </c>
      <c r="CJ135" s="55" t="s">
        <v>162</v>
      </c>
      <c r="CK135" s="55" t="s">
        <v>292</v>
      </c>
      <c r="CL135" s="55" t="s">
        <v>479</v>
      </c>
      <c r="CM135" s="55" t="s">
        <v>479</v>
      </c>
      <c r="CN135" s="55" t="s">
        <v>166</v>
      </c>
      <c r="CP135" s="55" t="s">
        <v>1810</v>
      </c>
      <c r="CQ135" s="55" t="s">
        <v>1811</v>
      </c>
      <c r="CR135" s="55" t="s">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/c>
    </row>
    <row r="136" spans="1:100">
      <c r="A136" s="55" t="s">
        <v>1813</v>
      </c>
      <c r="B136" s="55" t="s">
        <v>1814</v>
      </c>
      <c r="C136" s="55" t="s">
        <v>135</v>
      </c>
      <c r="D136" s="55" t="b">
        <v>0</v>
      </c>
      <c r="E136" s="55" t="b">
        <v>0</v>
      </c>
      <c r="F136" s="55" t="s">
        <v>136</v>
      </c>
      <c r="G136" s="55" t="s">
        <v>1815</v>
      </c>
      <c r="H136" s="55" t="s">
        <v>138</v>
      </c>
      <c r="I136" s="55" t="s">
        <v>139</v>
      </c>
      <c r="J136" s="55" t="s">
        <v>136</v>
      </c>
      <c r="K136" s="55" t="b">
        <v>0</v>
      </c>
      <c r="L136" s="56">
        <v>45872.95988425926</v>
      </c>
      <c r="O136" s="55">
        <v>0</v>
      </c>
      <c r="P136" s="56">
        <v>45156.639293981483</v>
      </c>
      <c r="Q136" s="56">
        <v>45902.186076388891</v>
      </c>
      <c r="R136" s="57">
        <v>2</v>
      </c>
      <c r="S136" s="55" t="s">
        <v>140</v>
      </c>
      <c r="T136" s="57">
        <v>4096</v>
      </c>
      <c r="U136" s="55">
        <v>204</v>
      </c>
      <c r="V136" s="55">
        <v>2</v>
      </c>
      <c r="W136" s="55">
        <v>2</v>
      </c>
      <c r="X136" s="58">
        <v>30720</v>
      </c>
      <c r="Z136" s="55" t="s">
        <v>177</v>
      </c>
      <c r="AA136" s="55" t="s">
        <v>142</v>
      </c>
      <c r="AD136" s="55" t="b">
        <v>1</v>
      </c>
      <c r="AE136" s="55" t="s">
        <v>1816</v>
      </c>
      <c r="AF136" s="55" t="s">
        <v>145</v>
      </c>
      <c r="AG136" s="55" t="s">
        <v>146</v>
      </c>
      <c r="AN136" s="55">
        <v>1</v>
      </c>
      <c r="AO136" s="55">
        <v>131072</v>
      </c>
      <c r="AP136" s="55" t="s">
        <v>147</v>
      </c>
      <c r="AQ136" s="55" t="s">
        <v>317</v>
      </c>
      <c r="AR136" s="55" t="s">
        <v>318</v>
      </c>
      <c r="AT136" s="55" t="b">
        <v>1</v>
      </c>
      <c r="AU136" s="55" t="s">
        <v>150</v>
      </c>
      <c r="AW136" s="55" t="s">
        <v>151</v>
      </c>
      <c r="AX136" s="55">
        <v>-1</v>
      </c>
      <c r="AY136" s="55">
        <v>-1</v>
      </c>
      <c r="BA136" s="55">
        <v>34898</v>
      </c>
      <c r="BB136" s="55">
        <v>34898</v>
      </c>
      <c r="BC136" s="55">
        <v>30720</v>
      </c>
      <c r="BD136" s="55" t="s">
        <v>152</v>
      </c>
      <c r="BE136" s="55" t="s">
        <v>153</v>
      </c>
      <c r="BF136" s="55" t="s">
        <v>154</v>
      </c>
      <c r="BI136" s="55" t="b">
        <v>0</v>
      </c>
      <c r="BJ136" s="55">
        <v>0</v>
      </c>
      <c r="BK136" s="55">
        <v>10000</v>
      </c>
      <c r="BL136" s="55" t="b">
        <v>0</v>
      </c>
      <c r="BM136" s="55" t="b">
        <v>0</v>
      </c>
      <c r="BO136" s="55" t="b">
        <v>0</v>
      </c>
      <c r="BP136" s="55" t="s">
        <v>155</v>
      </c>
      <c r="BQ136" s="55">
        <v>19</v>
      </c>
      <c r="BR136" s="55" t="s">
        <v>153</v>
      </c>
      <c r="BS136" s="55" t="s">
        <v>156</v>
      </c>
      <c r="BU136" s="55" t="s">
        <v>1817</v>
      </c>
      <c r="BV136" s="55" t="s">
        <v>1818</v>
      </c>
      <c r="BW136" s="55" t="s">
        <v>1818</v>
      </c>
      <c r="BX136" s="55" t="s">
        <v>1818</v>
      </c>
      <c r="BZ136" s="55" t="s">
        <v>1819</v>
      </c>
      <c r="CA136" s="55" t="s">
        <v>1820</v>
      </c>
      <c r="CI136" s="55" t="s">
        <v>161</v>
      </c>
      <c r="CJ136" s="55" t="s">
        <v>162</v>
      </c>
      <c r="CK136" s="55" t="s">
        <v>198</v>
      </c>
      <c r="CL136" s="55" t="s">
        <v>479</v>
      </c>
      <c r="CM136" s="55" t="s">
        <v>479</v>
      </c>
      <c r="CN136" s="55" t="s">
        <v>166</v>
      </c>
      <c r="CP136" s="55" t="s">
        <v>1821</v>
      </c>
      <c r="CQ136" s="55" t="s">
        <v>1822</v>
      </c>
      <c r="CR136" s="55" t="s">
        <v>1823</v>
      </c>
      <c r="CS136" s="55" t="s">
        <v>170</v>
      </c>
      <c r="CT136" s="55" t="s">
        <v>171</v>
      </c>
      <c r="CU136" s="55" t="s">
        <v>172</v>
      </c>
      <c r="CV136" s="55" t="s">
        <v>173</v>
      </c>
    </row>
    <row r="137" spans="1:100">
      <c r="A137" s="55" t="s">
        <v>1824</v>
      </c>
      <c r="B137" s="55" t="s">
        <v>1825</v>
      </c>
      <c r="C137" s="55" t="s">
        <v>135</v>
      </c>
      <c r="D137" s="55" t="b">
        <v>0</v>
      </c>
      <c r="E137" s="55" t="b">
        <v>0</v>
      </c>
      <c r="F137" s="55" t="s">
        <v>136</v>
      </c>
      <c r="G137" s="55" t="s">
        <v>1815</v>
      </c>
      <c r="H137" s="55" t="s">
        <v>138</v>
      </c>
      <c r="I137" s="55" t="s">
        <v>139</v>
      </c>
      <c r="J137" s="55" t="s">
        <v>151</v>
      </c>
      <c r="K137" s="55" t="b">
        <v>0</v>
      </c>
      <c r="L137" s="56">
        <v>45892.500856481478</v>
      </c>
      <c r="O137" s="55">
        <v>0</v>
      </c>
      <c r="P137" s="56">
        <v>45156.648680555547</v>
      </c>
      <c r="Q137" s="56">
        <v>45902.199004629627</v>
      </c>
      <c r="R137" s="57">
        <v>2</v>
      </c>
      <c r="S137" s="55" t="s">
        <v>140</v>
      </c>
      <c r="T137" s="57">
        <v>4096</v>
      </c>
      <c r="U137" s="55">
        <v>245</v>
      </c>
      <c r="V137" s="55">
        <v>2</v>
      </c>
      <c r="W137" s="55">
        <v>2</v>
      </c>
      <c r="X137" s="58">
        <v>30720</v>
      </c>
      <c r="Z137" s="55" t="s">
        <v>177</v>
      </c>
      <c r="AA137" s="55" t="s">
        <v>142</v>
      </c>
      <c r="AD137" s="55" t="b">
        <v>1</v>
      </c>
      <c r="AE137" s="55" t="s">
        <v>1826</v>
      </c>
      <c r="AF137" s="55" t="s">
        <v>145</v>
      </c>
      <c r="AG137" s="55" t="s">
        <v>146</v>
      </c>
      <c r="AN137" s="55">
        <v>1</v>
      </c>
      <c r="AO137" s="55">
        <v>131072</v>
      </c>
      <c r="AP137" s="55" t="s">
        <v>147</v>
      </c>
      <c r="AQ137" s="55" t="s">
        <v>317</v>
      </c>
      <c r="AR137" s="55" t="s">
        <v>318</v>
      </c>
      <c r="AT137" s="55" t="b">
        <v>1</v>
      </c>
      <c r="AU137" s="55" t="s">
        <v>150</v>
      </c>
      <c r="AW137" s="55" t="s">
        <v>151</v>
      </c>
      <c r="AX137" s="55">
        <v>-1</v>
      </c>
      <c r="AY137" s="55">
        <v>-1</v>
      </c>
      <c r="BA137" s="55">
        <v>34899</v>
      </c>
      <c r="BB137" s="55">
        <v>34899</v>
      </c>
      <c r="BC137" s="55">
        <v>30720</v>
      </c>
      <c r="BD137" s="55" t="s">
        <v>152</v>
      </c>
      <c r="BE137" s="55" t="s">
        <v>153</v>
      </c>
      <c r="BF137" s="55" t="s">
        <v>154</v>
      </c>
      <c r="BI137" s="55" t="b">
        <v>0</v>
      </c>
      <c r="BJ137" s="55">
        <v>0</v>
      </c>
      <c r="BK137" s="55">
        <v>10000</v>
      </c>
      <c r="BL137" s="55" t="b">
        <v>0</v>
      </c>
      <c r="BM137" s="55" t="b">
        <v>0</v>
      </c>
      <c r="BO137" s="55" t="b">
        <v>0</v>
      </c>
      <c r="BP137" s="55" t="s">
        <v>155</v>
      </c>
      <c r="BQ137" s="55">
        <v>19</v>
      </c>
      <c r="BR137" s="55" t="s">
        <v>153</v>
      </c>
      <c r="BS137" s="55" t="s">
        <v>156</v>
      </c>
      <c r="BU137" s="55" t="s">
        <v>1827</v>
      </c>
      <c r="BV137" s="55" t="s">
        <v>1828</v>
      </c>
      <c r="BW137" s="55" t="s">
        <v>1828</v>
      </c>
      <c r="BX137" s="55" t="s">
        <v>1828</v>
      </c>
      <c r="BZ137" s="55" t="s">
        <v>1829</v>
      </c>
      <c r="CA137" s="55" t="s">
        <v>1830</v>
      </c>
      <c r="CI137" s="55" t="s">
        <v>161</v>
      </c>
      <c r="CJ137" s="55" t="s">
        <v>162</v>
      </c>
      <c r="CK137" s="55" t="s">
        <v>226</v>
      </c>
      <c r="CL137" s="55" t="s">
        <v>479</v>
      </c>
      <c r="CM137" s="55" t="s">
        <v>479</v>
      </c>
      <c r="CN137" s="55" t="s">
        <v>166</v>
      </c>
      <c r="CP137" s="55" t="s">
        <v>1831</v>
      </c>
      <c r="CQ137" s="55" t="s">
        <v>1832</v>
      </c>
      <c r="CR137" s="55" t="s">
        <v>1833</v>
      </c>
      <c r="CS137" s="55" t="s">
        <v>170</v>
      </c>
      <c r="CT137" s="55" t="s">
        <v>171</v>
      </c>
      <c r="CU137" s="55" t="s">
        <v>172</v>
      </c>
      <c r="CV137" s="55" t="s">
        <v>173</v>
      </c>
    </row>
    <row r="138" spans="1:100" s="49" customFormat="1">
      <c r="A138" s="49" t="s">
        <v>1834</v>
      </c>
      <c r="B138" s="49" t="s">
        <v>1835</v>
      </c>
      <c r="C138" s="49" t="s">
        <v>732</v>
      </c>
      <c r="D138" s="55" t="b">
        <v>0</v>
      </c>
      <c r="E138" s="55" t="b">
        <v>0</v>
      </c>
      <c r="F138" s="55" t="s">
        <v>136</v>
      </c>
      <c r="G138" s="49" t="s">
        <v>1836</v>
      </c>
      <c r="H138" s="55" t="s">
        <v>138</v>
      </c>
      <c r="I138" s="55" t="s">
        <v>474</v>
      </c>
      <c r="J138" s="55" t="s">
        <v>151</v>
      </c>
      <c r="K138" s="55" t="b">
        <v>0</v>
      </c>
      <c r="L138" s="55"/>
      <c r="M138" s="55"/>
      <c r="N138" s="55"/>
      <c r="O138" s="55">
        <v>0</v>
      </c>
      <c r="P138" s="56">
        <v>45267.68372685185</v>
      </c>
      <c r="Q138" s="56">
        <v>45894.989722222221</v>
      </c>
      <c r="R138" s="51">
        <v>4</v>
      </c>
      <c r="T138" s="51">
        <v>16384</v>
      </c>
      <c r="U138" s="49">
        <v>0</v>
      </c>
      <c r="V138" s="49">
        <v>3</v>
      </c>
      <c r="W138" s="49">
        <v>3</v>
      </c>
      <c r="X138" s="52">
        <v>409600</v>
      </c>
      <c r="AA138" s="49" t="s">
        <v>142</v>
      </c>
      <c r="AC138" s="49" t="b">
        <v>1</v>
      </c>
      <c r="AD138" s="49" t="b">
        <v>1</v>
      </c>
      <c r="AF138" s="49" t="s">
        <v>144</v>
      </c>
      <c r="AG138" s="49" t="s">
        <v>145</v>
      </c>
      <c r="AH138" s="49" t="s">
        <v>146</v>
      </c>
      <c r="AN138" s="49">
        <v>1</v>
      </c>
      <c r="AO138" s="49">
        <v>16384</v>
      </c>
      <c r="AP138" s="49" t="s">
        <v>147</v>
      </c>
      <c r="AQ138" s="49" t="s">
        <v>148</v>
      </c>
      <c r="AR138" s="49" t="s">
        <v>149</v>
      </c>
      <c r="AU138" s="49" t="s">
        <v>150</v>
      </c>
      <c r="AW138" s="49" t="s">
        <v>151</v>
      </c>
      <c r="AX138" s="49">
        <v>-1</v>
      </c>
      <c r="AY138" s="49">
        <v>-1</v>
      </c>
      <c r="BA138" s="49">
        <v>426309</v>
      </c>
      <c r="BB138" s="49">
        <v>409649</v>
      </c>
      <c r="BC138" s="49">
        <v>409600</v>
      </c>
      <c r="BD138" s="49" t="s">
        <v>152</v>
      </c>
      <c r="BE138" s="49" t="s">
        <v>153</v>
      </c>
      <c r="BF138" s="49" t="s">
        <v>154</v>
      </c>
      <c r="BI138" s="49" t="b">
        <v>0</v>
      </c>
      <c r="BJ138" s="49">
        <v>0</v>
      </c>
      <c r="BK138" s="49">
        <v>10000</v>
      </c>
      <c r="BL138" s="49" t="b">
        <v>0</v>
      </c>
      <c r="BM138" s="49" t="b">
        <v>0</v>
      </c>
      <c r="BO138" s="49" t="b">
        <v>0</v>
      </c>
      <c r="BP138" s="49" t="s">
        <v>155</v>
      </c>
      <c r="BQ138" s="49">
        <v>19</v>
      </c>
      <c r="BR138" s="49" t="s">
        <v>153</v>
      </c>
      <c r="BS138" s="49" t="s">
        <v>156</v>
      </c>
      <c r="BU138" s="49" t="s">
        <v>1837</v>
      </c>
      <c r="BV138" s="49" t="s">
        <v>1838</v>
      </c>
      <c r="BW138" s="49" t="s">
        <v>1838</v>
      </c>
      <c r="BX138" s="49" t="s">
        <v>1838</v>
      </c>
      <c r="BZ138" s="49" t="s">
        <v>1839</v>
      </c>
      <c r="CA138" s="49" t="s">
        <v>1840</v>
      </c>
      <c r="CI138" s="49" t="s">
        <v>161</v>
      </c>
      <c r="CJ138" s="49" t="s">
        <v>162</v>
      </c>
      <c r="CK138" s="49" t="s">
        <v>212</v>
      </c>
      <c r="CL138" s="49" t="s">
        <v>213</v>
      </c>
      <c r="CM138" s="49" t="s">
        <v>213</v>
      </c>
      <c r="CP138" s="49" t="s">
        <v>1841</v>
      </c>
      <c r="CQ138" s="49" t="s">
        <v>1842</v>
      </c>
      <c r="CR138" s="49" t="s">
        <v>1843</v>
      </c>
      <c r="CS138" s="49" t="s">
        <v>170</v>
      </c>
      <c r="CT138" s="49" t="s">
        <v>171</v>
      </c>
      <c r="CU138" s="49" t="s">
        <v>172</v>
      </c>
      <c r="CV138" s="49" t="s">
        <v>173</v>
      </c>
    </row>
    <row r="139" spans="1:100">
      <c r="A139" s="55" t="s">
        <v>1834</v>
      </c>
      <c r="B139" s="55" t="s">
        <v>1844</v>
      </c>
      <c r="C139" s="55" t="s">
        <v>135</v>
      </c>
      <c r="D139" s="55" t="b">
        <v>0</v>
      </c>
      <c r="E139" s="55" t="b">
        <v>0</v>
      </c>
      <c r="F139" s="55" t="s">
        <v>136</v>
      </c>
      <c r="G139" s="55" t="s">
        <v>1836</v>
      </c>
      <c r="H139" s="55" t="s">
        <v>138</v>
      </c>
      <c r="I139" s="55" t="s">
        <v>139</v>
      </c>
      <c r="J139" s="55" t="s">
        <v>151</v>
      </c>
      <c r="K139" s="55" t="b">
        <v>0</v>
      </c>
      <c r="L139" s="56">
        <v>45797.6641087963</v>
      </c>
      <c r="O139" s="55">
        <v>0</v>
      </c>
      <c r="P139" s="56">
        <v>45267.68372685185</v>
      </c>
      <c r="Q139" s="56">
        <v>45901.56627314815</v>
      </c>
      <c r="R139" s="57">
        <v>4</v>
      </c>
      <c r="S139" s="55" t="s">
        <v>140</v>
      </c>
      <c r="T139" s="57">
        <v>16384</v>
      </c>
      <c r="U139" s="55">
        <v>1638</v>
      </c>
      <c r="V139" s="55">
        <v>3</v>
      </c>
      <c r="W139" s="55">
        <v>3</v>
      </c>
      <c r="X139" s="58">
        <v>409600</v>
      </c>
      <c r="Z139" s="55" t="s">
        <v>177</v>
      </c>
      <c r="AA139" s="55" t="s">
        <v>142</v>
      </c>
      <c r="AC139" s="55" t="b">
        <v>1</v>
      </c>
      <c r="AD139" s="55" t="b">
        <v>1</v>
      </c>
      <c r="AE139" s="55" t="s">
        <v>1845</v>
      </c>
      <c r="AF139" s="55" t="s">
        <v>144</v>
      </c>
      <c r="AG139" s="55" t="s">
        <v>145</v>
      </c>
      <c r="AH139" s="55" t="s">
        <v>146</v>
      </c>
      <c r="AN139" s="55">
        <v>1</v>
      </c>
      <c r="AO139" s="55">
        <v>16384</v>
      </c>
      <c r="AP139" s="55" t="s">
        <v>147</v>
      </c>
      <c r="AQ139" s="55" t="s">
        <v>148</v>
      </c>
      <c r="AR139" s="55" t="s">
        <v>149</v>
      </c>
      <c r="AT139" s="55" t="b">
        <v>1</v>
      </c>
      <c r="AU139" s="55" t="s">
        <v>150</v>
      </c>
      <c r="AW139" s="55" t="s">
        <v>151</v>
      </c>
      <c r="AX139" s="55">
        <v>-1</v>
      </c>
      <c r="AY139" s="55">
        <v>-1</v>
      </c>
      <c r="BA139" s="55">
        <v>426128</v>
      </c>
      <c r="BB139" s="55">
        <v>426128</v>
      </c>
      <c r="BC139" s="55">
        <v>409600</v>
      </c>
      <c r="BD139" s="55" t="s">
        <v>152</v>
      </c>
      <c r="BE139" s="55" t="s">
        <v>153</v>
      </c>
      <c r="BF139" s="55" t="s">
        <v>154</v>
      </c>
      <c r="BI139" s="55" t="b">
        <v>0</v>
      </c>
      <c r="BJ139" s="55">
        <v>0</v>
      </c>
      <c r="BK139" s="55">
        <v>10000</v>
      </c>
      <c r="BL139" s="55" t="b">
        <v>0</v>
      </c>
      <c r="BM139" s="55" t="b">
        <v>0</v>
      </c>
      <c r="BO139" s="55" t="b">
        <v>0</v>
      </c>
      <c r="BP139" s="55" t="s">
        <v>155</v>
      </c>
      <c r="BQ139" s="55">
        <v>19</v>
      </c>
      <c r="BR139" s="55" t="s">
        <v>153</v>
      </c>
      <c r="BS139" s="55" t="s">
        <v>156</v>
      </c>
      <c r="BU139" s="55" t="s">
        <v>1846</v>
      </c>
      <c r="BV139" s="55" t="s">
        <v>1847</v>
      </c>
      <c r="BW139" s="55" t="s">
        <v>1847</v>
      </c>
      <c r="BX139" s="55" t="s">
        <v>1847</v>
      </c>
      <c r="CI139" s="55" t="s">
        <v>161</v>
      </c>
      <c r="CJ139" s="55" t="s">
        <v>162</v>
      </c>
      <c r="CK139" s="55" t="s">
        <v>269</v>
      </c>
      <c r="CL139" s="55" t="s">
        <v>213</v>
      </c>
      <c r="CM139" s="55" t="s">
        <v>213</v>
      </c>
      <c r="CN139" s="55" t="s">
        <v>166</v>
      </c>
      <c r="CP139" s="55" t="s">
        <v>1848</v>
      </c>
      <c r="CQ139" s="55" t="s">
        <v>1849</v>
      </c>
      <c r="CR139" s="55" t="s">
        <v>1850</v>
      </c>
      <c r="CS139" s="55" t="s">
        <v>170</v>
      </c>
      <c r="CT139" s="55" t="s">
        <v>171</v>
      </c>
      <c r="CU139" s="55" t="s">
        <v>172</v>
      </c>
      <c r="CV139" s="55" t="s">
        <v>173</v>
      </c>
    </row>
    <row r="140" spans="1:100">
      <c r="A140" s="55" t="s">
        <v>1851</v>
      </c>
      <c r="B140" s="55" t="s">
        <v>1852</v>
      </c>
      <c r="C140" s="55" t="s">
        <v>135</v>
      </c>
      <c r="D140" s="55" t="b">
        <v>0</v>
      </c>
      <c r="E140" s="55" t="b">
        <v>0</v>
      </c>
      <c r="F140" s="55" t="s">
        <v>136</v>
      </c>
      <c r="G140" s="55" t="s">
        <v>1853</v>
      </c>
      <c r="H140" s="55" t="s">
        <v>138</v>
      </c>
      <c r="I140" s="55" t="s">
        <v>139</v>
      </c>
      <c r="J140" s="55" t="s">
        <v>136</v>
      </c>
      <c r="K140" s="55" t="b">
        <v>0</v>
      </c>
      <c r="L140" s="56">
        <v>45889.607129629629</v>
      </c>
      <c r="O140" s="55">
        <v>0</v>
      </c>
      <c r="P140" s="56">
        <v>45198.337002314824</v>
      </c>
      <c r="Q140" s="56">
        <v>45901.168356481481</v>
      </c>
      <c r="R140" s="57">
        <v>4</v>
      </c>
      <c r="S140" s="55" t="s">
        <v>140</v>
      </c>
      <c r="T140" s="57">
        <v>8192</v>
      </c>
      <c r="U140" s="55">
        <v>1228</v>
      </c>
      <c r="V140" s="55">
        <v>3</v>
      </c>
      <c r="W140" s="55">
        <v>3</v>
      </c>
      <c r="X140" s="58">
        <v>307200</v>
      </c>
      <c r="Z140" s="55" t="s">
        <v>177</v>
      </c>
      <c r="AA140" s="55" t="s">
        <v>142</v>
      </c>
      <c r="AC140" s="55" t="b">
        <v>1</v>
      </c>
      <c r="AD140" s="55" t="b">
        <v>1</v>
      </c>
      <c r="AE140" s="55" t="s">
        <v>1854</v>
      </c>
      <c r="AF140" s="55" t="s">
        <v>144</v>
      </c>
      <c r="AG140" s="55" t="s">
        <v>145</v>
      </c>
      <c r="AH140" s="55" t="s">
        <v>146</v>
      </c>
      <c r="AN140" s="55">
        <v>1</v>
      </c>
      <c r="AO140" s="55">
        <v>16384</v>
      </c>
      <c r="AP140" s="55" t="s">
        <v>147</v>
      </c>
      <c r="AQ140" s="55" t="s">
        <v>317</v>
      </c>
      <c r="AR140" s="55" t="s">
        <v>318</v>
      </c>
      <c r="AT140" s="55" t="b">
        <v>1</v>
      </c>
      <c r="AU140" s="55" t="s">
        <v>150</v>
      </c>
      <c r="AW140" s="55" t="s">
        <v>151</v>
      </c>
      <c r="AX140" s="55">
        <v>-1</v>
      </c>
      <c r="AY140" s="55">
        <v>-1</v>
      </c>
      <c r="BA140" s="55">
        <v>315521</v>
      </c>
      <c r="BB140" s="55">
        <v>315521</v>
      </c>
      <c r="BC140" s="55">
        <v>307200</v>
      </c>
      <c r="BD140" s="55" t="s">
        <v>152</v>
      </c>
      <c r="BE140" s="55" t="s">
        <v>153</v>
      </c>
      <c r="BF140" s="55" t="s">
        <v>154</v>
      </c>
      <c r="BI140" s="55" t="b">
        <v>0</v>
      </c>
      <c r="BJ140" s="55">
        <v>0</v>
      </c>
      <c r="BK140" s="55">
        <v>10000</v>
      </c>
      <c r="BL140" s="55" t="b">
        <v>0</v>
      </c>
      <c r="BM140" s="55" t="b">
        <v>0</v>
      </c>
      <c r="BO140" s="55" t="b">
        <v>0</v>
      </c>
      <c r="BP140" s="55" t="s">
        <v>155</v>
      </c>
      <c r="BQ140" s="55">
        <v>19</v>
      </c>
      <c r="BR140" s="55" t="s">
        <v>153</v>
      </c>
      <c r="BS140" s="55" t="s">
        <v>156</v>
      </c>
      <c r="BU140" s="55" t="s">
        <v>1855</v>
      </c>
      <c r="BV140" s="55" t="s">
        <v>1856</v>
      </c>
      <c r="BW140" s="55" t="s">
        <v>1856</v>
      </c>
      <c r="BX140" s="55" t="s">
        <v>1856</v>
      </c>
      <c r="BZ140" s="55" t="s">
        <v>1857</v>
      </c>
      <c r="CA140" s="55" t="s">
        <v>1858</v>
      </c>
      <c r="CI140" s="55" t="s">
        <v>161</v>
      </c>
      <c r="CJ140" s="55" t="s">
        <v>162</v>
      </c>
      <c r="CK140" s="55" t="s">
        <v>226</v>
      </c>
      <c r="CL140" s="55" t="s">
        <v>213</v>
      </c>
      <c r="CM140" s="55" t="s">
        <v>213</v>
      </c>
      <c r="CN140" s="55" t="s">
        <v>166</v>
      </c>
      <c r="CP140" s="55" t="s">
        <v>1859</v>
      </c>
      <c r="CQ140" s="55" t="s">
        <v>1860</v>
      </c>
      <c r="CR140" s="55" t="s">
        <v>1861</v>
      </c>
      <c r="CS140" s="55" t="s">
        <v>170</v>
      </c>
      <c r="CT140" s="55" t="s">
        <v>171</v>
      </c>
      <c r="CU140" s="55" t="s">
        <v>172</v>
      </c>
      <c r="CV140" s="55" t="s">
        <v>173</v>
      </c>
    </row>
    <row r="141" spans="1:100">
      <c r="A141" s="55" t="s">
        <v>1862</v>
      </c>
      <c r="B141" s="55" t="s">
        <v>1863</v>
      </c>
      <c r="C141" s="55" t="s">
        <v>135</v>
      </c>
      <c r="D141" s="55" t="b">
        <v>0</v>
      </c>
      <c r="E141" s="55" t="b">
        <v>0</v>
      </c>
      <c r="F141" s="55" t="s">
        <v>136</v>
      </c>
      <c r="G141" s="55" t="s">
        <v>1864</v>
      </c>
      <c r="H141" s="55" t="s">
        <v>138</v>
      </c>
      <c r="I141" s="55" t="s">
        <v>139</v>
      </c>
      <c r="J141" s="55" t="s">
        <v>136</v>
      </c>
      <c r="K141" s="55" t="b">
        <v>0</v>
      </c>
      <c r="L141" s="56">
        <v>45622.94835648148</v>
      </c>
      <c r="O141" s="55">
        <v>0</v>
      </c>
      <c r="P141" s="56">
        <v>45211.635682870372</v>
      </c>
      <c r="Q141" s="56">
        <v>45895.08666666667</v>
      </c>
      <c r="R141" s="57">
        <v>4</v>
      </c>
      <c r="S141" s="55" t="s">
        <v>140</v>
      </c>
      <c r="T141" s="57">
        <v>16384</v>
      </c>
      <c r="U141" s="55">
        <v>163</v>
      </c>
      <c r="V141" s="55">
        <v>4</v>
      </c>
      <c r="W141" s="55">
        <v>1</v>
      </c>
      <c r="X141" s="58">
        <v>102400</v>
      </c>
      <c r="Z141" s="55" t="s">
        <v>141</v>
      </c>
      <c r="AA141" s="55" t="s">
        <v>142</v>
      </c>
      <c r="AD141" s="55" t="b">
        <v>1</v>
      </c>
      <c r="AE141" s="55" t="s">
        <v>1865</v>
      </c>
      <c r="AF141" s="55" t="s">
        <v>144</v>
      </c>
      <c r="AG141" s="55" t="s">
        <v>191</v>
      </c>
      <c r="AH141" s="55" t="s">
        <v>146</v>
      </c>
      <c r="AI141" s="55" t="s">
        <v>1692</v>
      </c>
      <c r="AN141" s="55">
        <v>1</v>
      </c>
      <c r="AO141" s="55">
        <v>8192</v>
      </c>
      <c r="AP141" s="55" t="s">
        <v>147</v>
      </c>
      <c r="AQ141" s="55" t="s">
        <v>317</v>
      </c>
      <c r="AR141" s="55" t="s">
        <v>318</v>
      </c>
      <c r="AT141" s="55" t="b">
        <v>1</v>
      </c>
      <c r="AU141" s="55" t="s">
        <v>150</v>
      </c>
      <c r="AW141" s="55" t="s">
        <v>151</v>
      </c>
      <c r="AX141" s="55">
        <v>-1</v>
      </c>
      <c r="AY141" s="55">
        <v>-1</v>
      </c>
      <c r="BA141" s="55">
        <v>119043</v>
      </c>
      <c r="BB141" s="55">
        <v>119043</v>
      </c>
      <c r="BC141" s="55">
        <v>102400</v>
      </c>
      <c r="BD141" s="55" t="s">
        <v>152</v>
      </c>
      <c r="BE141" s="55" t="s">
        <v>153</v>
      </c>
      <c r="BF141" s="55" t="s">
        <v>154</v>
      </c>
      <c r="BI141" s="55" t="b">
        <v>0</v>
      </c>
      <c r="BJ141" s="55">
        <v>0</v>
      </c>
      <c r="BK141" s="55">
        <v>10000</v>
      </c>
      <c r="BL141" s="55" t="b">
        <v>0</v>
      </c>
      <c r="BM141" s="55" t="b">
        <v>0</v>
      </c>
      <c r="BO141" s="55" t="b">
        <v>0</v>
      </c>
      <c r="BP141" s="55" t="s">
        <v>155</v>
      </c>
      <c r="BQ141" s="55">
        <v>19</v>
      </c>
      <c r="BR141" s="55" t="s">
        <v>153</v>
      </c>
      <c r="BS141" s="55" t="s">
        <v>156</v>
      </c>
      <c r="BU141" s="55" t="s">
        <v>1866</v>
      </c>
      <c r="BV141" s="55" t="s">
        <v>1867</v>
      </c>
      <c r="BW141" s="55" t="s">
        <v>1867</v>
      </c>
      <c r="BX141" s="55" t="s">
        <v>1867</v>
      </c>
      <c r="BY141" s="55" t="s">
        <v>1868</v>
      </c>
      <c r="BZ141" s="55" t="s">
        <v>1869</v>
      </c>
      <c r="CA141" s="55" t="s">
        <v>1870</v>
      </c>
      <c r="CI141" s="55" t="s">
        <v>161</v>
      </c>
      <c r="CJ141" s="55" t="s">
        <v>162</v>
      </c>
      <c r="CK141" s="55" t="s">
        <v>226</v>
      </c>
      <c r="CL141" s="55" t="s">
        <v>199</v>
      </c>
      <c r="CM141" s="55" t="s">
        <v>199</v>
      </c>
      <c r="CN141" s="55" t="s">
        <v>166</v>
      </c>
      <c r="CP141" s="55" t="s">
        <v>1871</v>
      </c>
      <c r="CQ141" s="55" t="s">
        <v>1872</v>
      </c>
      <c r="CR141" s="55" t="s">
        <v>1873</v>
      </c>
      <c r="CS141" s="55" t="s">
        <v>170</v>
      </c>
      <c r="CT141" s="55" t="s">
        <v>171</v>
      </c>
      <c r="CU141" s="55" t="s">
        <v>172</v>
      </c>
      <c r="CV141" s="55" t="s">
        <v>173</v>
      </c>
    </row>
    <row r="142" spans="1:100">
      <c r="A142" s="55" t="s">
        <v>1874</v>
      </c>
      <c r="B142" s="55" t="s">
        <v>1875</v>
      </c>
      <c r="C142" s="55" t="s">
        <v>135</v>
      </c>
      <c r="D142" s="55" t="b">
        <v>0</v>
      </c>
      <c r="E142" s="55" t="b">
        <v>0</v>
      </c>
      <c r="F142" s="55" t="s">
        <v>136</v>
      </c>
      <c r="G142" s="55" t="s">
        <v>1876</v>
      </c>
      <c r="H142" s="55" t="s">
        <v>138</v>
      </c>
      <c r="I142" s="55" t="s">
        <v>139</v>
      </c>
      <c r="J142" s="55" t="s">
        <v>136</v>
      </c>
      <c r="K142" s="55" t="b">
        <v>0</v>
      </c>
      <c r="L142" s="56">
        <v>45867.498437499999</v>
      </c>
      <c r="O142" s="55">
        <v>0</v>
      </c>
      <c r="P142" s="56">
        <v>45233.580243055563</v>
      </c>
      <c r="Q142" s="56">
        <v>45899.026701388888</v>
      </c>
      <c r="R142" s="57">
        <v>4</v>
      </c>
      <c r="S142" s="55" t="s">
        <v>140</v>
      </c>
      <c r="T142" s="57">
        <v>16384</v>
      </c>
      <c r="U142" s="55">
        <v>5406</v>
      </c>
      <c r="V142" s="55">
        <v>1</v>
      </c>
      <c r="W142" s="55">
        <v>1</v>
      </c>
      <c r="X142" s="58">
        <v>122880</v>
      </c>
      <c r="Z142" s="55" t="s">
        <v>141</v>
      </c>
      <c r="AA142" s="55" t="s">
        <v>142</v>
      </c>
      <c r="AD142" s="55" t="b">
        <v>1</v>
      </c>
      <c r="AE142" s="55" t="s">
        <v>555</v>
      </c>
      <c r="AF142" s="55" t="s">
        <v>191</v>
      </c>
      <c r="AN142" s="55">
        <v>1</v>
      </c>
      <c r="AO142" s="55">
        <v>8192</v>
      </c>
      <c r="AP142" s="55" t="s">
        <v>147</v>
      </c>
      <c r="AQ142" s="55" t="s">
        <v>192</v>
      </c>
      <c r="AR142" s="55" t="s">
        <v>193</v>
      </c>
      <c r="AT142" s="55" t="b">
        <v>1</v>
      </c>
      <c r="AU142" s="55" t="s">
        <v>150</v>
      </c>
      <c r="AW142" s="55" t="s">
        <v>151</v>
      </c>
      <c r="AX142" s="55">
        <v>-1</v>
      </c>
      <c r="AY142" s="55">
        <v>-1</v>
      </c>
      <c r="BA142" s="55">
        <v>139382</v>
      </c>
      <c r="BB142" s="55">
        <v>139382</v>
      </c>
      <c r="BC142" s="55">
        <v>122880</v>
      </c>
      <c r="BD142" s="55" t="s">
        <v>152</v>
      </c>
      <c r="BE142" s="55" t="s">
        <v>153</v>
      </c>
      <c r="BF142" s="55" t="s">
        <v>154</v>
      </c>
      <c r="BI142" s="55" t="b">
        <v>0</v>
      </c>
      <c r="BJ142" s="55">
        <v>0</v>
      </c>
      <c r="BK142" s="55">
        <v>10000</v>
      </c>
      <c r="BL142" s="55" t="b">
        <v>0</v>
      </c>
      <c r="BM142" s="55" t="b">
        <v>0</v>
      </c>
      <c r="BO142" s="55" t="b">
        <v>0</v>
      </c>
      <c r="BP142" s="55" t="s">
        <v>155</v>
      </c>
      <c r="BQ142" s="55">
        <v>19</v>
      </c>
      <c r="BR142" s="55" t="s">
        <v>153</v>
      </c>
      <c r="BS142" s="55" t="s">
        <v>156</v>
      </c>
      <c r="BU142" s="55" t="s">
        <v>1877</v>
      </c>
      <c r="BV142" s="55" t="s">
        <v>1878</v>
      </c>
      <c r="BW142" s="55" t="s">
        <v>1878</v>
      </c>
      <c r="BX142" s="55" t="s">
        <v>1878</v>
      </c>
      <c r="BY142" s="55" t="s">
        <v>1879</v>
      </c>
      <c r="BZ142" s="55" t="s">
        <v>1880</v>
      </c>
      <c r="CA142" s="55" t="s">
        <v>1881</v>
      </c>
      <c r="CI142" s="55" t="s">
        <v>161</v>
      </c>
      <c r="CJ142" s="55" t="s">
        <v>162</v>
      </c>
      <c r="CK142" s="55" t="s">
        <v>269</v>
      </c>
      <c r="CL142" s="55" t="s">
        <v>199</v>
      </c>
      <c r="CM142" s="55" t="s">
        <v>199</v>
      </c>
      <c r="CN142" s="55" t="s">
        <v>166</v>
      </c>
      <c r="CP142" s="55" t="s">
        <v>1882</v>
      </c>
      <c r="CQ142" s="55" t="s">
        <v>1883</v>
      </c>
      <c r="CR142" s="55" t="s">
        <v>1884</v>
      </c>
      <c r="CS142" s="55" t="s">
        <v>170</v>
      </c>
      <c r="CT142" s="55" t="s">
        <v>171</v>
      </c>
      <c r="CU142" s="55" t="s">
        <v>172</v>
      </c>
      <c r="CV142" s="55" t="s">
        <v>173</v>
      </c>
    </row>
    <row r="143" spans="1:100">
      <c r="A143" s="55" t="s">
        <v>1885</v>
      </c>
      <c r="B143" s="55" t="s">
        <v>1886</v>
      </c>
      <c r="C143" s="55" t="s">
        <v>135</v>
      </c>
      <c r="D143" s="55" t="b">
        <v>0</v>
      </c>
      <c r="E143" s="55" t="b">
        <v>0</v>
      </c>
      <c r="F143" s="55" t="s">
        <v>136</v>
      </c>
      <c r="G143" s="55" t="s">
        <v>1887</v>
      </c>
      <c r="H143" s="55" t="s">
        <v>138</v>
      </c>
      <c r="I143" s="55" t="s">
        <v>139</v>
      </c>
      <c r="J143" s="55" t="s">
        <v>136</v>
      </c>
      <c r="K143" s="55" t="b">
        <v>0</v>
      </c>
      <c r="L143" s="56">
        <v>45868.460358796299</v>
      </c>
      <c r="O143" s="55">
        <v>0</v>
      </c>
      <c r="P143" s="56">
        <v>45233.581932870373</v>
      </c>
      <c r="Q143" s="56">
        <v>45901.502141203702</v>
      </c>
      <c r="R143" s="57">
        <v>4</v>
      </c>
      <c r="S143" s="55" t="s">
        <v>1888</v>
      </c>
      <c r="T143" s="57">
        <v>16384</v>
      </c>
      <c r="U143" s="55">
        <v>7208</v>
      </c>
      <c r="V143" s="55">
        <v>1</v>
      </c>
      <c r="W143" s="55">
        <v>1</v>
      </c>
      <c r="X143" s="58">
        <v>122880</v>
      </c>
      <c r="Z143" s="55" t="s">
        <v>177</v>
      </c>
      <c r="AA143" s="55" t="s">
        <v>142</v>
      </c>
      <c r="AD143" s="55" t="b">
        <v>1</v>
      </c>
      <c r="AE143" s="55" t="s">
        <v>566</v>
      </c>
      <c r="AF143" s="55" t="s">
        <v>191</v>
      </c>
      <c r="AN143" s="55">
        <v>1</v>
      </c>
      <c r="AO143" s="55">
        <v>8192</v>
      </c>
      <c r="AP143" s="55" t="s">
        <v>147</v>
      </c>
      <c r="AQ143" s="55" t="s">
        <v>192</v>
      </c>
      <c r="AR143" s="55" t="s">
        <v>193</v>
      </c>
      <c r="AT143" s="55" t="b">
        <v>1</v>
      </c>
      <c r="AU143" s="55" t="s">
        <v>150</v>
      </c>
      <c r="AW143" s="55" t="s">
        <v>151</v>
      </c>
      <c r="AX143" s="55">
        <v>-1</v>
      </c>
      <c r="AY143" s="55">
        <v>-1</v>
      </c>
      <c r="BA143" s="55">
        <v>139390</v>
      </c>
      <c r="BB143" s="55">
        <v>139390</v>
      </c>
      <c r="BC143" s="55">
        <v>122880</v>
      </c>
      <c r="BD143" s="55" t="s">
        <v>152</v>
      </c>
      <c r="BE143" s="55" t="s">
        <v>153</v>
      </c>
      <c r="BF143" s="55" t="s">
        <v>154</v>
      </c>
      <c r="BI143" s="55" t="b">
        <v>0</v>
      </c>
      <c r="BJ143" s="55">
        <v>0</v>
      </c>
      <c r="BK143" s="55">
        <v>10000</v>
      </c>
      <c r="BL143" s="55" t="b">
        <v>0</v>
      </c>
      <c r="BM143" s="55" t="b">
        <v>0</v>
      </c>
      <c r="BO143" s="55" t="b">
        <v>0</v>
      </c>
      <c r="BP143" s="55" t="s">
        <v>155</v>
      </c>
      <c r="BQ143" s="55">
        <v>19</v>
      </c>
      <c r="BR143" s="55" t="s">
        <v>153</v>
      </c>
      <c r="BS143" s="55" t="s">
        <v>156</v>
      </c>
      <c r="BU143" s="55" t="s">
        <v>1889</v>
      </c>
      <c r="BV143" s="55" t="s">
        <v>1890</v>
      </c>
      <c r="BW143" s="55" t="s">
        <v>1890</v>
      </c>
      <c r="BX143" s="55" t="s">
        <v>1890</v>
      </c>
      <c r="BY143" s="55" t="s">
        <v>1891</v>
      </c>
      <c r="BZ143" s="55" t="s">
        <v>1892</v>
      </c>
      <c r="CA143" s="55" t="s">
        <v>1893</v>
      </c>
      <c r="CI143" s="55" t="s">
        <v>161</v>
      </c>
      <c r="CJ143" s="55" t="s">
        <v>162</v>
      </c>
      <c r="CK143" s="55" t="s">
        <v>242</v>
      </c>
      <c r="CL143" s="55" t="s">
        <v>199</v>
      </c>
      <c r="CM143" s="55" t="s">
        <v>199</v>
      </c>
      <c r="CN143" s="55" t="s">
        <v>166</v>
      </c>
      <c r="CP143" s="55" t="s">
        <v>1894</v>
      </c>
      <c r="CQ143" s="55" t="s">
        <v>1895</v>
      </c>
      <c r="CR143" s="55" t="s">
        <v>1896</v>
      </c>
      <c r="CS143" s="55" t="s">
        <v>170</v>
      </c>
      <c r="CT143" s="55" t="s">
        <v>171</v>
      </c>
      <c r="CU143" s="55" t="s">
        <v>172</v>
      </c>
      <c r="CV143" s="55" t="s">
        <v>173</v>
      </c>
    </row>
    <row r="144" spans="1:100">
      <c r="A144" s="55" t="s">
        <v>1897</v>
      </c>
      <c r="B144" s="55" t="s">
        <v>1898</v>
      </c>
      <c r="C144" s="55" t="s">
        <v>135</v>
      </c>
      <c r="D144" s="55" t="b">
        <v>0</v>
      </c>
      <c r="E144" s="55" t="b">
        <v>0</v>
      </c>
      <c r="F144" s="55" t="s">
        <v>136</v>
      </c>
      <c r="G144" s="55" t="s">
        <v>1899</v>
      </c>
      <c r="H144" s="55" t="s">
        <v>138</v>
      </c>
      <c r="I144" s="55" t="s">
        <v>139</v>
      </c>
      <c r="J144" s="55" t="s">
        <v>136</v>
      </c>
      <c r="K144" s="55" t="b">
        <v>0</v>
      </c>
      <c r="L144" s="56">
        <v>45868.46056712963</v>
      </c>
      <c r="O144" s="55">
        <v>0</v>
      </c>
      <c r="P144" s="56">
        <v>45233.583344907413</v>
      </c>
      <c r="Q144" s="56">
        <v>45895.085092592592</v>
      </c>
      <c r="R144" s="57">
        <v>4</v>
      </c>
      <c r="S144" s="55" t="s">
        <v>140</v>
      </c>
      <c r="T144" s="57">
        <v>16384</v>
      </c>
      <c r="U144" s="55">
        <v>7700</v>
      </c>
      <c r="V144" s="55">
        <v>1</v>
      </c>
      <c r="W144" s="55">
        <v>1</v>
      </c>
      <c r="X144" s="58">
        <v>122880</v>
      </c>
      <c r="Z144" s="55" t="s">
        <v>177</v>
      </c>
      <c r="AA144" s="55" t="s">
        <v>142</v>
      </c>
      <c r="AD144" s="55" t="b">
        <v>1</v>
      </c>
      <c r="AE144" s="55" t="s">
        <v>544</v>
      </c>
      <c r="AF144" s="55" t="s">
        <v>191</v>
      </c>
      <c r="AN144" s="55">
        <v>1</v>
      </c>
      <c r="AO144" s="55">
        <v>8192</v>
      </c>
      <c r="AP144" s="55" t="s">
        <v>147</v>
      </c>
      <c r="AQ144" s="55" t="s">
        <v>192</v>
      </c>
      <c r="AR144" s="55" t="s">
        <v>193</v>
      </c>
      <c r="AT144" s="55" t="b">
        <v>1</v>
      </c>
      <c r="AU144" s="55" t="s">
        <v>150</v>
      </c>
      <c r="AW144" s="55" t="s">
        <v>151</v>
      </c>
      <c r="AX144" s="55">
        <v>-1</v>
      </c>
      <c r="AY144" s="55">
        <v>-1</v>
      </c>
      <c r="BA144" s="55">
        <v>139391</v>
      </c>
      <c r="BB144" s="55">
        <v>139391</v>
      </c>
      <c r="BC144" s="55">
        <v>122880</v>
      </c>
      <c r="BD144" s="55" t="s">
        <v>152</v>
      </c>
      <c r="BE144" s="55" t="s">
        <v>153</v>
      </c>
      <c r="BF144" s="55" t="s">
        <v>154</v>
      </c>
      <c r="BI144" s="55" t="b">
        <v>0</v>
      </c>
      <c r="BJ144" s="55">
        <v>0</v>
      </c>
      <c r="BK144" s="55">
        <v>10000</v>
      </c>
      <c r="BL144" s="55" t="b">
        <v>0</v>
      </c>
      <c r="BM144" s="55" t="b">
        <v>0</v>
      </c>
      <c r="BO144" s="55" t="b">
        <v>0</v>
      </c>
      <c r="BP144" s="55" t="s">
        <v>155</v>
      </c>
      <c r="BQ144" s="55">
        <v>19</v>
      </c>
      <c r="BR144" s="55" t="s">
        <v>153</v>
      </c>
      <c r="BS144" s="55" t="s">
        <v>156</v>
      </c>
      <c r="BU144" s="55" t="s">
        <v>1900</v>
      </c>
      <c r="BV144" s="55" t="s">
        <v>1901</v>
      </c>
      <c r="BW144" s="55" t="s">
        <v>1901</v>
      </c>
      <c r="BX144" s="55" t="s">
        <v>1901</v>
      </c>
      <c r="BY144" s="55" t="s">
        <v>1902</v>
      </c>
      <c r="BZ144" s="55" t="s">
        <v>1903</v>
      </c>
      <c r="CA144" s="55" t="s">
        <v>1904</v>
      </c>
      <c r="CI144" s="55" t="s">
        <v>161</v>
      </c>
      <c r="CJ144" s="55" t="s">
        <v>162</v>
      </c>
      <c r="CK144" s="55" t="s">
        <v>226</v>
      </c>
      <c r="CL144" s="55" t="s">
        <v>199</v>
      </c>
      <c r="CM144" s="55" t="s">
        <v>199</v>
      </c>
      <c r="CN144" s="55" t="s">
        <v>166</v>
      </c>
      <c r="CP144" s="55" t="s">
        <v>1905</v>
      </c>
      <c r="CQ144" s="55" t="s">
        <v>1906</v>
      </c>
      <c r="CR144" s="55" t="s">
        <v>1907</v>
      </c>
      <c r="CS144" s="55" t="s">
        <v>170</v>
      </c>
      <c r="CT144" s="55" t="s">
        <v>171</v>
      </c>
      <c r="CU144" s="55" t="s">
        <v>172</v>
      </c>
      <c r="CV144" s="55" t="s">
        <v>173</v>
      </c>
    </row>
    <row r="145" spans="1:100">
      <c r="A145" s="55" t="s">
        <v>1908</v>
      </c>
      <c r="B145" s="55" t="s">
        <v>1909</v>
      </c>
      <c r="C145" s="55" t="s">
        <v>135</v>
      </c>
      <c r="D145" s="55" t="b">
        <v>0</v>
      </c>
      <c r="E145" s="55" t="b">
        <v>0</v>
      </c>
      <c r="F145" s="55" t="s">
        <v>136</v>
      </c>
      <c r="G145" s="55" t="s">
        <v>1910</v>
      </c>
      <c r="H145" s="55" t="s">
        <v>138</v>
      </c>
      <c r="I145" s="55" t="s">
        <v>139</v>
      </c>
      <c r="J145" s="55" t="s">
        <v>136</v>
      </c>
      <c r="K145" s="55" t="b">
        <v>0</v>
      </c>
      <c r="L145" s="56">
        <v>45868.460717592592</v>
      </c>
      <c r="O145" s="55">
        <v>0</v>
      </c>
      <c r="P145" s="56">
        <v>45233.610462962963</v>
      </c>
      <c r="Q145" s="56">
        <v>45901.620023148149</v>
      </c>
      <c r="R145" s="57">
        <v>4</v>
      </c>
      <c r="S145" s="55" t="s">
        <v>140</v>
      </c>
      <c r="T145" s="57">
        <v>16384</v>
      </c>
      <c r="U145" s="55">
        <v>3932</v>
      </c>
      <c r="V145" s="55">
        <v>1</v>
      </c>
      <c r="W145" s="55">
        <v>1</v>
      </c>
      <c r="X145" s="58">
        <v>122880</v>
      </c>
      <c r="Z145" s="55" t="s">
        <v>177</v>
      </c>
      <c r="AA145" s="55" t="s">
        <v>142</v>
      </c>
      <c r="AD145" s="55" t="b">
        <v>1</v>
      </c>
      <c r="AE145" s="55" t="s">
        <v>588</v>
      </c>
      <c r="AF145" s="55" t="s">
        <v>191</v>
      </c>
      <c r="AN145" s="55">
        <v>1</v>
      </c>
      <c r="AO145" s="55">
        <v>8192</v>
      </c>
      <c r="AP145" s="55" t="s">
        <v>147</v>
      </c>
      <c r="AQ145" s="55" t="s">
        <v>192</v>
      </c>
      <c r="AR145" s="55" t="s">
        <v>193</v>
      </c>
      <c r="AT145" s="55" t="b">
        <v>1</v>
      </c>
      <c r="AU145" s="55" t="s">
        <v>150</v>
      </c>
      <c r="AW145" s="55" t="s">
        <v>151</v>
      </c>
      <c r="AX145" s="55">
        <v>-1</v>
      </c>
      <c r="AY145" s="55">
        <v>-1</v>
      </c>
      <c r="BA145" s="55">
        <v>139354</v>
      </c>
      <c r="BB145" s="55">
        <v>139354</v>
      </c>
      <c r="BC145" s="55">
        <v>122880</v>
      </c>
      <c r="BD145" s="55" t="s">
        <v>152</v>
      </c>
      <c r="BE145" s="55" t="s">
        <v>153</v>
      </c>
      <c r="BF145" s="55" t="s">
        <v>154</v>
      </c>
      <c r="BI145" s="55" t="b">
        <v>0</v>
      </c>
      <c r="BJ145" s="55">
        <v>0</v>
      </c>
      <c r="BK145" s="55">
        <v>10000</v>
      </c>
      <c r="BL145" s="55" t="b">
        <v>0</v>
      </c>
      <c r="BM145" s="55" t="b">
        <v>0</v>
      </c>
      <c r="BO145" s="55" t="b">
        <v>0</v>
      </c>
      <c r="BP145" s="55" t="s">
        <v>155</v>
      </c>
      <c r="BQ145" s="55">
        <v>19</v>
      </c>
      <c r="BR145" s="55" t="s">
        <v>153</v>
      </c>
      <c r="BS145" s="55" t="s">
        <v>156</v>
      </c>
      <c r="BU145" s="55" t="s">
        <v>1911</v>
      </c>
      <c r="BV145" s="55" t="s">
        <v>1912</v>
      </c>
      <c r="BW145" s="55" t="s">
        <v>1912</v>
      </c>
      <c r="BX145" s="55" t="s">
        <v>1912</v>
      </c>
      <c r="BZ145" s="55" t="s">
        <v>1913</v>
      </c>
      <c r="CA145" s="55" t="s">
        <v>1914</v>
      </c>
      <c r="CI145" s="55" t="s">
        <v>161</v>
      </c>
      <c r="CJ145" s="55" t="s">
        <v>162</v>
      </c>
      <c r="CK145" s="55" t="s">
        <v>163</v>
      </c>
      <c r="CL145" s="55" t="s">
        <v>199</v>
      </c>
      <c r="CM145" s="55" t="s">
        <v>199</v>
      </c>
      <c r="CN145" s="55" t="s">
        <v>166</v>
      </c>
      <c r="CP145" s="55" t="s">
        <v>1915</v>
      </c>
      <c r="CQ145" s="55" t="s">
        <v>1916</v>
      </c>
      <c r="CR145" s="55" t="s">
        <v>1917</v>
      </c>
      <c r="CS145" s="55" t="s">
        <v>170</v>
      </c>
      <c r="CT145" s="55" t="s">
        <v>171</v>
      </c>
      <c r="CU145" s="55" t="s">
        <v>172</v>
      </c>
      <c r="CV145" s="55" t="s">
        <v>173</v>
      </c>
    </row>
    <row r="146" spans="1:100">
      <c r="A146" s="55" t="s">
        <v>1918</v>
      </c>
      <c r="B146" s="55" t="s">
        <v>1919</v>
      </c>
      <c r="C146" s="55" t="s">
        <v>135</v>
      </c>
      <c r="D146" s="55" t="b">
        <v>0</v>
      </c>
      <c r="E146" s="55" t="b">
        <v>0</v>
      </c>
      <c r="F146" s="55" t="s">
        <v>136</v>
      </c>
      <c r="G146" s="55" t="s">
        <v>1920</v>
      </c>
      <c r="H146" s="55" t="s">
        <v>138</v>
      </c>
      <c r="I146" s="55" t="s">
        <v>139</v>
      </c>
      <c r="J146" s="55" t="s">
        <v>136</v>
      </c>
      <c r="K146" s="55" t="b">
        <v>0</v>
      </c>
      <c r="L146" s="56">
        <v>45868.461215277777</v>
      </c>
      <c r="O146" s="55">
        <v>0</v>
      </c>
      <c r="P146" s="56">
        <v>45233.614733796298</v>
      </c>
      <c r="Q146" s="56">
        <v>45898.1715625</v>
      </c>
      <c r="R146" s="57">
        <v>4</v>
      </c>
      <c r="S146" s="55" t="s">
        <v>140</v>
      </c>
      <c r="T146" s="57">
        <v>16384</v>
      </c>
      <c r="U146" s="55">
        <v>4096</v>
      </c>
      <c r="V146" s="55">
        <v>1</v>
      </c>
      <c r="W146" s="55">
        <v>1</v>
      </c>
      <c r="X146" s="58">
        <v>122880</v>
      </c>
      <c r="Y146" s="55" t="b">
        <v>0</v>
      </c>
      <c r="Z146" s="55" t="s">
        <v>177</v>
      </c>
      <c r="AA146" s="55" t="s">
        <v>142</v>
      </c>
      <c r="AD146" s="55" t="b">
        <v>1</v>
      </c>
      <c r="AE146" s="55" t="s">
        <v>620</v>
      </c>
      <c r="AF146" s="55" t="s">
        <v>191</v>
      </c>
      <c r="AN146" s="55">
        <v>1</v>
      </c>
      <c r="AO146" s="55">
        <v>8192</v>
      </c>
      <c r="AP146" s="55" t="s">
        <v>147</v>
      </c>
      <c r="AQ146" s="55" t="s">
        <v>192</v>
      </c>
      <c r="AR146" s="55" t="s">
        <v>193</v>
      </c>
      <c r="AT146" s="55" t="b">
        <v>1</v>
      </c>
      <c r="AU146" s="55" t="s">
        <v>150</v>
      </c>
      <c r="AW146" s="55" t="s">
        <v>151</v>
      </c>
      <c r="AX146" s="55">
        <v>-1</v>
      </c>
      <c r="AY146" s="55">
        <v>-1</v>
      </c>
      <c r="BA146" s="55">
        <v>139378</v>
      </c>
      <c r="BB146" s="55">
        <v>139378</v>
      </c>
      <c r="BC146" s="55">
        <v>122880</v>
      </c>
      <c r="BD146" s="55" t="s">
        <v>152</v>
      </c>
      <c r="BE146" s="55" t="s">
        <v>153</v>
      </c>
      <c r="BF146" s="55" t="s">
        <v>154</v>
      </c>
      <c r="BI146" s="55" t="b">
        <v>0</v>
      </c>
      <c r="BJ146" s="55">
        <v>0</v>
      </c>
      <c r="BK146" s="55">
        <v>10000</v>
      </c>
      <c r="BL146" s="55" t="b">
        <v>0</v>
      </c>
      <c r="BM146" s="55" t="b">
        <v>0</v>
      </c>
      <c r="BN146" s="55" t="b">
        <v>0</v>
      </c>
      <c r="BO146" s="55" t="b">
        <v>0</v>
      </c>
      <c r="BP146" s="55" t="s">
        <v>155</v>
      </c>
      <c r="BQ146" s="55">
        <v>19</v>
      </c>
      <c r="BR146" s="55" t="s">
        <v>153</v>
      </c>
      <c r="BS146" s="55" t="s">
        <v>156</v>
      </c>
      <c r="BU146" s="55" t="s">
        <v>1921</v>
      </c>
      <c r="BV146" s="55" t="s">
        <v>1922</v>
      </c>
      <c r="BW146" s="55" t="s">
        <v>1922</v>
      </c>
      <c r="BX146" s="55" t="s">
        <v>1922</v>
      </c>
      <c r="BZ146" s="55" t="s">
        <v>1923</v>
      </c>
      <c r="CA146" s="55" t="s">
        <v>1924</v>
      </c>
      <c r="CI146" s="55" t="s">
        <v>161</v>
      </c>
      <c r="CJ146" s="55" t="s">
        <v>162</v>
      </c>
      <c r="CK146" s="55" t="s">
        <v>1925</v>
      </c>
      <c r="CL146" s="55" t="s">
        <v>199</v>
      </c>
      <c r="CM146" s="55" t="s">
        <v>199</v>
      </c>
      <c r="CN146" s="55" t="s">
        <v>166</v>
      </c>
      <c r="CP146" s="55" t="s">
        <v>1926</v>
      </c>
      <c r="CQ146" s="55" t="s">
        <v>1927</v>
      </c>
      <c r="CR146" s="55" t="s">
        <v>1928</v>
      </c>
      <c r="CS146" s="55" t="s">
        <v>170</v>
      </c>
      <c r="CT146" s="55" t="s">
        <v>171</v>
      </c>
      <c r="CU146" s="55" t="s">
        <v>172</v>
      </c>
      <c r="CV146" s="55" t="s">
        <v>173</v>
      </c>
    </row>
    <row r="147" spans="1:100">
      <c r="A147" s="55" t="s">
        <v>1929</v>
      </c>
      <c r="B147" s="55" t="s">
        <v>1930</v>
      </c>
      <c r="C147" s="55" t="s">
        <v>135</v>
      </c>
      <c r="D147" s="55" t="b">
        <v>0</v>
      </c>
      <c r="E147" s="55" t="b">
        <v>0</v>
      </c>
      <c r="F147" s="55" t="s">
        <v>136</v>
      </c>
      <c r="G147" s="55" t="s">
        <v>1931</v>
      </c>
      <c r="H147" s="55" t="s">
        <v>138</v>
      </c>
      <c r="I147" s="55" t="s">
        <v>139</v>
      </c>
      <c r="J147" s="55" t="s">
        <v>136</v>
      </c>
      <c r="K147" s="55" t="b">
        <v>0</v>
      </c>
      <c r="L147" s="56">
        <v>45774.682488425933</v>
      </c>
      <c r="O147" s="55">
        <v>0</v>
      </c>
      <c r="P147" s="56">
        <v>45043.638240740736</v>
      </c>
      <c r="Q147" s="56">
        <v>45900.107199074067</v>
      </c>
      <c r="R147" s="57">
        <v>16</v>
      </c>
      <c r="S147" s="55" t="s">
        <v>140</v>
      </c>
      <c r="T147" s="57">
        <v>8192</v>
      </c>
      <c r="U147" s="55">
        <v>81</v>
      </c>
      <c r="V147" s="55">
        <v>4</v>
      </c>
      <c r="W147" s="55">
        <v>1</v>
      </c>
      <c r="X147" s="58">
        <v>512000</v>
      </c>
      <c r="Z147" s="55" t="s">
        <v>1326</v>
      </c>
      <c r="AA147" s="55" t="s">
        <v>142</v>
      </c>
      <c r="AD147" s="55" t="b">
        <v>1</v>
      </c>
      <c r="AE147" s="55" t="s">
        <v>1932</v>
      </c>
      <c r="AF147" s="55" t="s">
        <v>1933</v>
      </c>
      <c r="AG147" s="55" t="s">
        <v>1934</v>
      </c>
      <c r="AH147" s="55" t="s">
        <v>1935</v>
      </c>
      <c r="AI147" s="55" t="s">
        <v>1936</v>
      </c>
      <c r="AN147" s="55">
        <v>1</v>
      </c>
      <c r="AO147" s="55">
        <v>4096</v>
      </c>
      <c r="AP147" s="55" t="s">
        <v>1331</v>
      </c>
      <c r="AQ147" s="55" t="s">
        <v>148</v>
      </c>
      <c r="AR147" s="55" t="s">
        <v>149</v>
      </c>
      <c r="AT147" s="55" t="b">
        <v>1</v>
      </c>
      <c r="AU147" s="55" t="s">
        <v>150</v>
      </c>
      <c r="AW147" s="55" t="s">
        <v>151</v>
      </c>
      <c r="AX147" s="55">
        <v>-1</v>
      </c>
      <c r="AY147" s="55">
        <v>-1</v>
      </c>
      <c r="BA147" s="55">
        <v>520292</v>
      </c>
      <c r="BB147" s="55">
        <v>520292</v>
      </c>
      <c r="BC147" s="55">
        <v>512000</v>
      </c>
      <c r="BD147" s="55" t="s">
        <v>152</v>
      </c>
      <c r="BE147" s="55" t="s">
        <v>153</v>
      </c>
      <c r="BF147" s="55" t="s">
        <v>154</v>
      </c>
      <c r="BI147" s="55" t="b">
        <v>0</v>
      </c>
      <c r="BJ147" s="55">
        <v>0</v>
      </c>
      <c r="BK147" s="55">
        <v>10000</v>
      </c>
      <c r="BL147" s="55" t="b">
        <v>0</v>
      </c>
      <c r="BM147" s="55" t="b">
        <v>0</v>
      </c>
      <c r="BO147" s="55" t="b">
        <v>0</v>
      </c>
      <c r="BP147" s="55" t="s">
        <v>155</v>
      </c>
      <c r="BQ147" s="55">
        <v>14</v>
      </c>
      <c r="BR147" s="55" t="s">
        <v>153</v>
      </c>
      <c r="BS147" s="55" t="s">
        <v>156</v>
      </c>
      <c r="BU147" s="55" t="s">
        <v>1937</v>
      </c>
      <c r="BV147" s="55" t="s">
        <v>1938</v>
      </c>
      <c r="BW147" s="55" t="s">
        <v>1938</v>
      </c>
      <c r="BX147" s="55" t="s">
        <v>1938</v>
      </c>
      <c r="BZ147" s="55" t="s">
        <v>1939</v>
      </c>
      <c r="CA147" s="55" t="s">
        <v>1940</v>
      </c>
      <c r="CI147" s="55" t="s">
        <v>161</v>
      </c>
      <c r="CJ147" s="55" t="s">
        <v>1340</v>
      </c>
      <c r="CK147" s="55" t="s">
        <v>1565</v>
      </c>
      <c r="CL147" s="55" t="s">
        <v>396</v>
      </c>
      <c r="CM147" s="55" t="s">
        <v>396</v>
      </c>
      <c r="CN147" s="55" t="s">
        <v>166</v>
      </c>
      <c r="CP147" s="55" t="s">
        <v>1941</v>
      </c>
      <c r="CQ147" s="55" t="s">
        <v>1942</v>
      </c>
      <c r="CR147" s="55" t="s">
        <v>1943</v>
      </c>
      <c r="CS147" s="55" t="s">
        <v>170</v>
      </c>
      <c r="CT147" s="55" t="s">
        <v>171</v>
      </c>
      <c r="CU147" s="55" t="s">
        <v>172</v>
      </c>
      <c r="CV147" s="55" t="s">
        <v>173</v>
      </c>
    </row>
    <row r="148" spans="1:100">
      <c r="R148" s="57">
        <f>SUM(R2:R147)</f>
        <v>750</v>
      </c>
      <c r="T148" s="57">
        <f>SUM(T2:T147)</f>
        <v>2033664</v>
      </c>
      <c r="X148" s="58">
        <f>SUM(X2:X147)</f>
        <v>307888215</v>
      </c>
    </row>
    <row r="149" spans="1:100">
      <c r="T149" s="57">
        <f>T148/1024</f>
        <v>1986</v>
      </c>
      <c r="X149" s="58">
        <f>X148/1024</f>
        <v>300672.0849609375</v>
      </c>
    </row>
    <row r="150" spans="1:100">
      <c r="X150" s="58">
        <f>X149/1024</f>
        <v>293.62508296966553</v>
      </c>
    </row>
  </sheetData>
  <autoFilter ref="A1:DK147" xr:uid="{945519E4-6D28-4A0D-B00D-E1542A5E3B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7"/>
  <sheetViews>
    <sheetView topLeftCell="S1" workbookViewId="0">
      <pane ySplit="1" topLeftCell="A2" activePane="bottomLeft" state="frozen"/>
      <selection pane="bottomLeft" activeCell="Y44" sqref="Y44"/>
      <selection activeCell="B1" sqref="B1"/>
    </sheetView>
  </sheetViews>
  <sheetFormatPr defaultColWidth="11.42578125" defaultRowHeight="15"/>
  <cols>
    <col min="1" max="1" width="41.7109375" customWidth="1"/>
    <col min="11" max="11" width="20.28515625" bestFit="1" customWidth="1"/>
    <col min="20" max="20" width="17.7109375" customWidth="1"/>
    <col min="23" max="23" width="26" customWidth="1"/>
  </cols>
  <sheetData>
    <row r="1" spans="1:100" s="4" customFormat="1" ht="11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2" t="s">
        <v>31</v>
      </c>
      <c r="L1" s="1" t="s">
        <v>32</v>
      </c>
      <c r="M1" s="2" t="s">
        <v>33</v>
      </c>
      <c r="N1" s="1" t="s">
        <v>34</v>
      </c>
      <c r="O1" s="2" t="s">
        <v>35</v>
      </c>
      <c r="P1" s="2" t="s">
        <v>36</v>
      </c>
      <c r="Q1" s="3" t="s">
        <v>37</v>
      </c>
      <c r="R1" s="1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1" t="s">
        <v>44</v>
      </c>
      <c r="Y1" s="3" t="s">
        <v>45</v>
      </c>
      <c r="Z1" s="1" t="s">
        <v>46</v>
      </c>
      <c r="AA1" s="3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3" t="s">
        <v>59</v>
      </c>
      <c r="AN1" s="3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3" t="s">
        <v>67</v>
      </c>
      <c r="AV1" s="1" t="s">
        <v>68</v>
      </c>
      <c r="AW1" s="3" t="s">
        <v>69</v>
      </c>
      <c r="AX1" s="3" t="s">
        <v>70</v>
      </c>
      <c r="AY1" s="1" t="s">
        <v>71</v>
      </c>
      <c r="AZ1" s="3" t="s">
        <v>72</v>
      </c>
      <c r="BA1" s="3" t="s">
        <v>73</v>
      </c>
      <c r="BB1" s="3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3" t="s">
        <v>81</v>
      </c>
      <c r="BJ1" s="3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3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121</v>
      </c>
      <c r="CA1" s="1" t="s">
        <v>98</v>
      </c>
      <c r="CB1" s="1" t="s">
        <v>123</v>
      </c>
      <c r="CC1" s="1" t="s">
        <v>124</v>
      </c>
      <c r="CD1" s="1" t="s">
        <v>99</v>
      </c>
      <c r="CE1" s="1" t="s">
        <v>126</v>
      </c>
      <c r="CF1" s="1" t="s">
        <v>132</v>
      </c>
      <c r="CG1" s="1" t="s">
        <v>131</v>
      </c>
      <c r="CH1" s="1" t="s">
        <v>21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  <c r="CO1" s="1" t="s">
        <v>112</v>
      </c>
      <c r="CP1" s="1" t="s">
        <v>113</v>
      </c>
      <c r="CQ1" s="1" t="s">
        <v>114</v>
      </c>
      <c r="CR1" s="1" t="s">
        <v>115</v>
      </c>
      <c r="CS1" s="1" t="s">
        <v>116</v>
      </c>
      <c r="CT1" s="1" t="s">
        <v>117</v>
      </c>
      <c r="CU1" s="1" t="s">
        <v>118</v>
      </c>
      <c r="CV1" s="1" t="s">
        <v>119</v>
      </c>
    </row>
    <row r="2" spans="1:100" s="4" customFormat="1" ht="11.25">
      <c r="A2" s="5" t="s">
        <v>260</v>
      </c>
      <c r="B2" s="5" t="s">
        <v>732</v>
      </c>
      <c r="C2" s="5" t="s">
        <v>1944</v>
      </c>
      <c r="D2" s="5" t="s">
        <v>1944</v>
      </c>
      <c r="E2" s="5" t="s">
        <v>136</v>
      </c>
      <c r="F2" s="5" t="s">
        <v>261</v>
      </c>
      <c r="G2" s="5" t="s">
        <v>138</v>
      </c>
      <c r="H2" s="5" t="s">
        <v>474</v>
      </c>
      <c r="I2" s="5" t="s">
        <v>151</v>
      </c>
      <c r="J2" s="5" t="s">
        <v>1944</v>
      </c>
      <c r="K2" s="6"/>
      <c r="L2" s="5"/>
      <c r="M2" s="6"/>
      <c r="N2" s="5" t="s">
        <v>1945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142</v>
      </c>
      <c r="AA2" s="7"/>
      <c r="AB2" s="5" t="s">
        <v>1946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1947</v>
      </c>
      <c r="AP2" s="5" t="s">
        <v>1948</v>
      </c>
      <c r="AQ2" s="5" t="s">
        <v>1949</v>
      </c>
      <c r="AR2" s="5"/>
      <c r="AS2" s="5" t="s">
        <v>1950</v>
      </c>
      <c r="AT2" s="5" t="s">
        <v>150</v>
      </c>
      <c r="AU2" s="7"/>
      <c r="AV2" s="5" t="s">
        <v>151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152</v>
      </c>
      <c r="BD2" s="5" t="s">
        <v>153</v>
      </c>
      <c r="BE2" s="5" t="s">
        <v>154</v>
      </c>
      <c r="BF2" s="5"/>
      <c r="BG2" s="5"/>
      <c r="BH2" s="5" t="s">
        <v>1944</v>
      </c>
      <c r="BI2" s="7">
        <v>0</v>
      </c>
      <c r="BJ2" s="7">
        <v>10000</v>
      </c>
      <c r="BK2" s="5" t="s">
        <v>1944</v>
      </c>
      <c r="BL2" s="5" t="s">
        <v>1944</v>
      </c>
      <c r="BM2" s="5"/>
      <c r="BN2" s="5" t="s">
        <v>1944</v>
      </c>
      <c r="BO2" s="5" t="s">
        <v>155</v>
      </c>
      <c r="BP2" s="7">
        <v>19</v>
      </c>
      <c r="BQ2" s="5" t="s">
        <v>153</v>
      </c>
      <c r="BR2" s="5" t="s">
        <v>156</v>
      </c>
      <c r="BS2" s="5"/>
      <c r="BT2" s="5" t="s">
        <v>1951</v>
      </c>
      <c r="BU2" s="5" t="s">
        <v>1952</v>
      </c>
      <c r="BV2" s="5" t="s">
        <v>1952</v>
      </c>
      <c r="BW2" s="5" t="s">
        <v>1952</v>
      </c>
      <c r="BX2" s="5" t="s">
        <v>239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1953</v>
      </c>
      <c r="CJ2" s="5" t="s">
        <v>1954</v>
      </c>
      <c r="CK2" s="5" t="s">
        <v>1955</v>
      </c>
      <c r="CL2" s="5" t="s">
        <v>213</v>
      </c>
      <c r="CM2" s="5" t="s">
        <v>213</v>
      </c>
      <c r="CN2" s="5"/>
      <c r="CO2" s="5"/>
      <c r="CP2" s="5" t="s">
        <v>1956</v>
      </c>
      <c r="CQ2" s="5" t="s">
        <v>1957</v>
      </c>
      <c r="CR2" s="5" t="s">
        <v>1958</v>
      </c>
      <c r="CS2" s="5" t="s">
        <v>1959</v>
      </c>
      <c r="CT2" s="5" t="s">
        <v>1960</v>
      </c>
      <c r="CU2" s="5" t="s">
        <v>1961</v>
      </c>
      <c r="CV2" s="5" t="s">
        <v>1962</v>
      </c>
    </row>
    <row r="3" spans="1:100" s="4" customFormat="1" ht="11.25">
      <c r="A3" s="5" t="s">
        <v>811</v>
      </c>
      <c r="B3" s="5" t="s">
        <v>732</v>
      </c>
      <c r="C3" s="5" t="s">
        <v>1944</v>
      </c>
      <c r="D3" s="5" t="s">
        <v>1944</v>
      </c>
      <c r="E3" s="5" t="s">
        <v>136</v>
      </c>
      <c r="F3" s="5" t="s">
        <v>812</v>
      </c>
      <c r="G3" s="5" t="s">
        <v>138</v>
      </c>
      <c r="H3" s="5" t="s">
        <v>474</v>
      </c>
      <c r="I3" s="5" t="s">
        <v>151</v>
      </c>
      <c r="J3" s="5" t="s">
        <v>1944</v>
      </c>
      <c r="K3" s="6"/>
      <c r="L3" s="5"/>
      <c r="M3" s="6"/>
      <c r="N3" s="5" t="s">
        <v>1945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142</v>
      </c>
      <c r="AA3" s="7"/>
      <c r="AB3" s="5" t="s">
        <v>1946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1963</v>
      </c>
      <c r="AP3" s="5" t="s">
        <v>1964</v>
      </c>
      <c r="AQ3" s="5" t="s">
        <v>1965</v>
      </c>
      <c r="AR3" s="5"/>
      <c r="AS3" s="5" t="s">
        <v>1950</v>
      </c>
      <c r="AT3" s="5" t="s">
        <v>150</v>
      </c>
      <c r="AU3" s="7"/>
      <c r="AV3" s="5" t="s">
        <v>151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152</v>
      </c>
      <c r="BD3" s="5" t="s">
        <v>153</v>
      </c>
      <c r="BE3" s="5" t="s">
        <v>154</v>
      </c>
      <c r="BF3" s="5"/>
      <c r="BG3" s="5"/>
      <c r="BH3" s="5" t="s">
        <v>1944</v>
      </c>
      <c r="BI3" s="7">
        <v>0</v>
      </c>
      <c r="BJ3" s="7">
        <v>10000</v>
      </c>
      <c r="BK3" s="5" t="s">
        <v>1944</v>
      </c>
      <c r="BL3" s="5" t="s">
        <v>1944</v>
      </c>
      <c r="BM3" s="5"/>
      <c r="BN3" s="5" t="s">
        <v>1944</v>
      </c>
      <c r="BO3" s="5" t="s">
        <v>155</v>
      </c>
      <c r="BP3" s="7">
        <v>15</v>
      </c>
      <c r="BQ3" s="5" t="s">
        <v>153</v>
      </c>
      <c r="BR3" s="5" t="s">
        <v>156</v>
      </c>
      <c r="BS3" s="5"/>
      <c r="BT3" s="5" t="s">
        <v>1966</v>
      </c>
      <c r="BU3" s="5" t="s">
        <v>1967</v>
      </c>
      <c r="BV3" s="5" t="s">
        <v>1967</v>
      </c>
      <c r="BW3" s="5" t="s">
        <v>1967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1953</v>
      </c>
      <c r="CJ3" s="5" t="s">
        <v>1954</v>
      </c>
      <c r="CK3" s="5" t="s">
        <v>1968</v>
      </c>
      <c r="CL3" s="5" t="s">
        <v>826</v>
      </c>
      <c r="CM3" s="5"/>
      <c r="CN3" s="5"/>
      <c r="CO3" s="5"/>
      <c r="CP3" s="5" t="s">
        <v>1969</v>
      </c>
      <c r="CQ3" s="5" t="s">
        <v>1970</v>
      </c>
      <c r="CR3" s="5" t="s">
        <v>1971</v>
      </c>
      <c r="CS3" s="5" t="s">
        <v>1959</v>
      </c>
      <c r="CT3" s="5" t="s">
        <v>1960</v>
      </c>
      <c r="CU3" s="5" t="s">
        <v>1961</v>
      </c>
      <c r="CV3" s="5" t="s">
        <v>1962</v>
      </c>
    </row>
    <row r="4" spans="1:100" s="4" customFormat="1" ht="11.25">
      <c r="A4" s="5" t="s">
        <v>830</v>
      </c>
      <c r="B4" s="5" t="s">
        <v>732</v>
      </c>
      <c r="C4" s="5" t="s">
        <v>1944</v>
      </c>
      <c r="D4" s="5" t="s">
        <v>1944</v>
      </c>
      <c r="E4" s="5" t="s">
        <v>136</v>
      </c>
      <c r="F4" s="5" t="s">
        <v>831</v>
      </c>
      <c r="G4" s="5" t="s">
        <v>138</v>
      </c>
      <c r="H4" s="5" t="s">
        <v>474</v>
      </c>
      <c r="I4" s="5" t="s">
        <v>151</v>
      </c>
      <c r="J4" s="5" t="s">
        <v>1944</v>
      </c>
      <c r="K4" s="6"/>
      <c r="L4" s="5"/>
      <c r="M4" s="6"/>
      <c r="N4" s="5" t="s">
        <v>1945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142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1972</v>
      </c>
      <c r="AP4" s="5" t="s">
        <v>1948</v>
      </c>
      <c r="AQ4" s="5" t="s">
        <v>1949</v>
      </c>
      <c r="AR4" s="5"/>
      <c r="AS4" s="5" t="s">
        <v>1950</v>
      </c>
      <c r="AT4" s="5" t="s">
        <v>150</v>
      </c>
      <c r="AU4" s="7"/>
      <c r="AV4" s="5" t="s">
        <v>151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152</v>
      </c>
      <c r="BD4" s="5" t="s">
        <v>153</v>
      </c>
      <c r="BE4" s="5" t="s">
        <v>154</v>
      </c>
      <c r="BF4" s="5"/>
      <c r="BG4" s="5"/>
      <c r="BH4" s="5" t="s">
        <v>1944</v>
      </c>
      <c r="BI4" s="7">
        <v>0</v>
      </c>
      <c r="BJ4" s="7">
        <v>10000</v>
      </c>
      <c r="BK4" s="5" t="s">
        <v>1944</v>
      </c>
      <c r="BL4" s="5" t="s">
        <v>1944</v>
      </c>
      <c r="BM4" s="5"/>
      <c r="BN4" s="5" t="s">
        <v>1944</v>
      </c>
      <c r="BO4" s="5" t="s">
        <v>155</v>
      </c>
      <c r="BP4" s="7">
        <v>13</v>
      </c>
      <c r="BQ4" s="5" t="s">
        <v>153</v>
      </c>
      <c r="BR4" s="5" t="s">
        <v>156</v>
      </c>
      <c r="BS4" s="5"/>
      <c r="BT4" s="5" t="s">
        <v>1973</v>
      </c>
      <c r="BU4" s="5" t="s">
        <v>1974</v>
      </c>
      <c r="BV4" s="5" t="s">
        <v>1974</v>
      </c>
      <c r="BW4" s="5" t="s">
        <v>1974</v>
      </c>
      <c r="BX4" s="5" t="s">
        <v>840</v>
      </c>
      <c r="BY4" s="5"/>
      <c r="BZ4" s="5"/>
      <c r="CA4" s="5"/>
      <c r="CB4" s="5"/>
      <c r="CC4" s="5"/>
      <c r="CD4" s="5" t="s">
        <v>1975</v>
      </c>
      <c r="CE4" s="5"/>
      <c r="CF4" s="5"/>
      <c r="CG4" s="5"/>
      <c r="CH4" s="5"/>
      <c r="CI4" s="5" t="s">
        <v>1953</v>
      </c>
      <c r="CJ4" s="5" t="s">
        <v>1954</v>
      </c>
      <c r="CK4" s="5" t="s">
        <v>1976</v>
      </c>
      <c r="CL4" s="5" t="s">
        <v>846</v>
      </c>
      <c r="CM4" s="5"/>
      <c r="CN4" s="5"/>
      <c r="CO4" s="5"/>
      <c r="CP4" s="5" t="s">
        <v>1975</v>
      </c>
      <c r="CQ4" s="5" t="s">
        <v>1977</v>
      </c>
      <c r="CR4" s="5" t="s">
        <v>1978</v>
      </c>
      <c r="CS4" s="5" t="s">
        <v>1959</v>
      </c>
      <c r="CT4" s="5" t="s">
        <v>1960</v>
      </c>
      <c r="CU4" s="5" t="s">
        <v>1961</v>
      </c>
      <c r="CV4" s="5" t="s">
        <v>1962</v>
      </c>
    </row>
    <row r="5" spans="1:100" s="4" customFormat="1" ht="11.25">
      <c r="A5" s="5" t="s">
        <v>902</v>
      </c>
      <c r="B5" s="5" t="s">
        <v>732</v>
      </c>
      <c r="C5" s="5" t="s">
        <v>1944</v>
      </c>
      <c r="D5" s="5" t="s">
        <v>1944</v>
      </c>
      <c r="E5" s="5" t="s">
        <v>136</v>
      </c>
      <c r="F5" s="5"/>
      <c r="G5" s="5" t="s">
        <v>138</v>
      </c>
      <c r="H5" s="5" t="s">
        <v>474</v>
      </c>
      <c r="I5" s="5" t="s">
        <v>151</v>
      </c>
      <c r="J5" s="5" t="s">
        <v>1944</v>
      </c>
      <c r="K5" s="6"/>
      <c r="L5" s="5"/>
      <c r="M5" s="6"/>
      <c r="N5" s="5" t="s">
        <v>1945</v>
      </c>
      <c r="O5" s="6">
        <v>45722.395127314798</v>
      </c>
      <c r="P5" s="6">
        <v>45730.621168981503</v>
      </c>
      <c r="Q5" s="7">
        <v>2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142</v>
      </c>
      <c r="AA5" s="7"/>
      <c r="AB5" s="5" t="s">
        <v>1946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1963</v>
      </c>
      <c r="AP5" s="5" t="s">
        <v>1964</v>
      </c>
      <c r="AQ5" s="5" t="s">
        <v>1965</v>
      </c>
      <c r="AR5" s="5"/>
      <c r="AS5" s="5"/>
      <c r="AT5" s="5" t="s">
        <v>150</v>
      </c>
      <c r="AU5" s="7"/>
      <c r="AV5" s="5" t="s">
        <v>151</v>
      </c>
      <c r="AW5" s="7">
        <v>-1</v>
      </c>
      <c r="AX5" s="7">
        <v>-1</v>
      </c>
      <c r="AY5" s="5"/>
      <c r="AZ5" s="7">
        <v>9392</v>
      </c>
      <c r="BA5" s="7">
        <v>0</v>
      </c>
      <c r="BB5" s="7">
        <v>0</v>
      </c>
      <c r="BC5" s="5" t="s">
        <v>152</v>
      </c>
      <c r="BD5" s="5" t="s">
        <v>153</v>
      </c>
      <c r="BE5" s="5" t="s">
        <v>154</v>
      </c>
      <c r="BF5" s="5"/>
      <c r="BG5" s="5"/>
      <c r="BH5" s="5" t="s">
        <v>1944</v>
      </c>
      <c r="BI5" s="7">
        <v>0</v>
      </c>
      <c r="BJ5" s="7">
        <v>10000</v>
      </c>
      <c r="BK5" s="5" t="s">
        <v>1944</v>
      </c>
      <c r="BL5" s="5" t="s">
        <v>1944</v>
      </c>
      <c r="BM5" s="5"/>
      <c r="BN5" s="5" t="s">
        <v>1944</v>
      </c>
      <c r="BO5" s="5" t="s">
        <v>155</v>
      </c>
      <c r="BP5" s="7">
        <v>13</v>
      </c>
      <c r="BQ5" s="5" t="s">
        <v>153</v>
      </c>
      <c r="BR5" s="5" t="s">
        <v>156</v>
      </c>
      <c r="BS5" s="5"/>
      <c r="BT5" s="5" t="s">
        <v>1979</v>
      </c>
      <c r="BU5" s="5" t="s">
        <v>1980</v>
      </c>
      <c r="BV5" s="5" t="s">
        <v>1980</v>
      </c>
      <c r="BW5" s="5" t="s">
        <v>1980</v>
      </c>
      <c r="BX5" s="5" t="s">
        <v>908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1953</v>
      </c>
      <c r="CJ5" s="5" t="s">
        <v>1954</v>
      </c>
      <c r="CK5" s="5" t="s">
        <v>1968</v>
      </c>
      <c r="CL5" s="5" t="s">
        <v>826</v>
      </c>
      <c r="CM5" s="5" t="s">
        <v>826</v>
      </c>
      <c r="CN5" s="5"/>
      <c r="CO5" s="5"/>
      <c r="CP5" s="5" t="s">
        <v>1981</v>
      </c>
      <c r="CQ5" s="5" t="s">
        <v>1982</v>
      </c>
      <c r="CR5" s="5" t="s">
        <v>1983</v>
      </c>
      <c r="CS5" s="5" t="s">
        <v>1959</v>
      </c>
      <c r="CT5" s="5" t="s">
        <v>1960</v>
      </c>
      <c r="CU5" s="5" t="s">
        <v>1961</v>
      </c>
      <c r="CV5" s="5" t="s">
        <v>1962</v>
      </c>
    </row>
    <row r="6" spans="1:100" s="4" customFormat="1" ht="11.25">
      <c r="A6" s="5" t="s">
        <v>916</v>
      </c>
      <c r="B6" s="5" t="s">
        <v>732</v>
      </c>
      <c r="C6" s="5" t="s">
        <v>1944</v>
      </c>
      <c r="D6" s="5" t="s">
        <v>1944</v>
      </c>
      <c r="E6" s="5" t="s">
        <v>136</v>
      </c>
      <c r="F6" s="5" t="s">
        <v>917</v>
      </c>
      <c r="G6" s="5" t="s">
        <v>138</v>
      </c>
      <c r="H6" s="5" t="s">
        <v>474</v>
      </c>
      <c r="I6" s="5" t="s">
        <v>151</v>
      </c>
      <c r="J6" s="5" t="s">
        <v>1944</v>
      </c>
      <c r="K6" s="6"/>
      <c r="L6" s="5"/>
      <c r="M6" s="6"/>
      <c r="N6" s="5" t="s">
        <v>1945</v>
      </c>
      <c r="O6" s="6">
        <v>45086.842465277798</v>
      </c>
      <c r="P6" s="6">
        <v>45745.116956018501</v>
      </c>
      <c r="Q6" s="7">
        <v>8</v>
      </c>
      <c r="R6" s="5"/>
      <c r="S6" s="7">
        <v>4096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142</v>
      </c>
      <c r="AA6" s="7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1972</v>
      </c>
      <c r="AP6" s="5" t="s">
        <v>1964</v>
      </c>
      <c r="AQ6" s="5" t="s">
        <v>1965</v>
      </c>
      <c r="AR6" s="5"/>
      <c r="AS6" s="5" t="s">
        <v>1950</v>
      </c>
      <c r="AT6" s="5" t="s">
        <v>150</v>
      </c>
      <c r="AU6" s="7"/>
      <c r="AV6" s="5" t="s">
        <v>151</v>
      </c>
      <c r="AW6" s="7">
        <v>-1</v>
      </c>
      <c r="AX6" s="7">
        <v>-1</v>
      </c>
      <c r="AY6" s="5"/>
      <c r="AZ6" s="7">
        <v>5302</v>
      </c>
      <c r="BA6" s="7">
        <v>0</v>
      </c>
      <c r="BB6" s="7">
        <v>0</v>
      </c>
      <c r="BC6" s="5" t="s">
        <v>152</v>
      </c>
      <c r="BD6" s="5" t="s">
        <v>153</v>
      </c>
      <c r="BE6" s="5" t="s">
        <v>154</v>
      </c>
      <c r="BF6" s="5"/>
      <c r="BG6" s="5"/>
      <c r="BH6" s="5" t="s">
        <v>1944</v>
      </c>
      <c r="BI6" s="7">
        <v>0</v>
      </c>
      <c r="BJ6" s="7">
        <v>10000</v>
      </c>
      <c r="BK6" s="5" t="s">
        <v>1944</v>
      </c>
      <c r="BL6" s="5" t="s">
        <v>1944</v>
      </c>
      <c r="BM6" s="5"/>
      <c r="BN6" s="5" t="s">
        <v>1944</v>
      </c>
      <c r="BO6" s="5" t="s">
        <v>155</v>
      </c>
      <c r="BP6" s="7">
        <v>13</v>
      </c>
      <c r="BQ6" s="5" t="s">
        <v>153</v>
      </c>
      <c r="BR6" s="5" t="s">
        <v>156</v>
      </c>
      <c r="BS6" s="5"/>
      <c r="BT6" s="5" t="s">
        <v>1984</v>
      </c>
      <c r="BU6" s="5" t="s">
        <v>1985</v>
      </c>
      <c r="BV6" s="5" t="s">
        <v>1985</v>
      </c>
      <c r="BW6" s="5" t="s">
        <v>1985</v>
      </c>
      <c r="BX6" s="5"/>
      <c r="BY6" s="5"/>
      <c r="BZ6" s="5"/>
      <c r="CA6" s="5"/>
      <c r="CB6" s="5"/>
      <c r="CC6" s="5"/>
      <c r="CD6" s="5" t="s">
        <v>1986</v>
      </c>
      <c r="CE6" s="5"/>
      <c r="CF6" s="5"/>
      <c r="CG6" s="5"/>
      <c r="CH6" s="5"/>
      <c r="CI6" s="5" t="s">
        <v>1953</v>
      </c>
      <c r="CJ6" s="5" t="s">
        <v>1954</v>
      </c>
      <c r="CK6" s="5" t="s">
        <v>1976</v>
      </c>
      <c r="CL6" s="5" t="s">
        <v>846</v>
      </c>
      <c r="CM6" s="5" t="s">
        <v>846</v>
      </c>
      <c r="CN6" s="5"/>
      <c r="CO6" s="5"/>
      <c r="CP6" s="5" t="s">
        <v>1986</v>
      </c>
      <c r="CQ6" s="5" t="s">
        <v>1987</v>
      </c>
      <c r="CR6" s="5" t="s">
        <v>1988</v>
      </c>
      <c r="CS6" s="5" t="s">
        <v>1959</v>
      </c>
      <c r="CT6" s="5" t="s">
        <v>1960</v>
      </c>
      <c r="CU6" s="5" t="s">
        <v>1961</v>
      </c>
      <c r="CV6" s="5" t="s">
        <v>1962</v>
      </c>
    </row>
    <row r="7" spans="1:100" s="4" customFormat="1" ht="11.25">
      <c r="A7" s="5" t="s">
        <v>952</v>
      </c>
      <c r="B7" s="5" t="s">
        <v>732</v>
      </c>
      <c r="C7" s="5" t="s">
        <v>1944</v>
      </c>
      <c r="D7" s="5" t="s">
        <v>1944</v>
      </c>
      <c r="E7" s="5" t="s">
        <v>136</v>
      </c>
      <c r="F7" s="5" t="s">
        <v>953</v>
      </c>
      <c r="G7" s="5" t="s">
        <v>138</v>
      </c>
      <c r="H7" s="5" t="s">
        <v>474</v>
      </c>
      <c r="I7" s="5" t="s">
        <v>151</v>
      </c>
      <c r="J7" s="5" t="s">
        <v>1944</v>
      </c>
      <c r="K7" s="6"/>
      <c r="L7" s="5"/>
      <c r="M7" s="6"/>
      <c r="N7" s="5" t="s">
        <v>1945</v>
      </c>
      <c r="O7" s="6">
        <v>45317.404409722199</v>
      </c>
      <c r="P7" s="6">
        <v>45737.461180555598</v>
      </c>
      <c r="Q7" s="7">
        <v>4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142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1989</v>
      </c>
      <c r="AP7" s="5" t="s">
        <v>1964</v>
      </c>
      <c r="AQ7" s="5" t="s">
        <v>1965</v>
      </c>
      <c r="AR7" s="5"/>
      <c r="AS7" s="5"/>
      <c r="AT7" s="5" t="s">
        <v>150</v>
      </c>
      <c r="AU7" s="7"/>
      <c r="AV7" s="5" t="s">
        <v>151</v>
      </c>
      <c r="AW7" s="7">
        <v>-1</v>
      </c>
      <c r="AX7" s="7">
        <v>-1</v>
      </c>
      <c r="AY7" s="5"/>
      <c r="AZ7" s="7">
        <v>5300</v>
      </c>
      <c r="BA7" s="7">
        <v>0</v>
      </c>
      <c r="BB7" s="7">
        <v>0</v>
      </c>
      <c r="BC7" s="5" t="s">
        <v>152</v>
      </c>
      <c r="BD7" s="5" t="s">
        <v>153</v>
      </c>
      <c r="BE7" s="5" t="s">
        <v>154</v>
      </c>
      <c r="BF7" s="5"/>
      <c r="BG7" s="5"/>
      <c r="BH7" s="5" t="s">
        <v>1944</v>
      </c>
      <c r="BI7" s="7">
        <v>0</v>
      </c>
      <c r="BJ7" s="7">
        <v>10000</v>
      </c>
      <c r="BK7" s="5" t="s">
        <v>1944</v>
      </c>
      <c r="BL7" s="5" t="s">
        <v>1944</v>
      </c>
      <c r="BM7" s="5"/>
      <c r="BN7" s="5" t="s">
        <v>1944</v>
      </c>
      <c r="BO7" s="5" t="s">
        <v>155</v>
      </c>
      <c r="BP7" s="7">
        <v>13</v>
      </c>
      <c r="BQ7" s="5" t="s">
        <v>153</v>
      </c>
      <c r="BR7" s="5" t="s">
        <v>156</v>
      </c>
      <c r="BS7" s="5"/>
      <c r="BT7" s="5" t="s">
        <v>1990</v>
      </c>
      <c r="BU7" s="5" t="s">
        <v>1991</v>
      </c>
      <c r="BV7" s="5" t="s">
        <v>1991</v>
      </c>
      <c r="BW7" s="5" t="s">
        <v>1991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1953</v>
      </c>
      <c r="CJ7" s="5" t="s">
        <v>1992</v>
      </c>
      <c r="CK7" s="5" t="s">
        <v>1993</v>
      </c>
      <c r="CL7" s="5" t="s">
        <v>846</v>
      </c>
      <c r="CM7" s="5"/>
      <c r="CN7" s="5"/>
      <c r="CO7" s="5"/>
      <c r="CP7" s="5" t="s">
        <v>1994</v>
      </c>
      <c r="CQ7" s="5" t="s">
        <v>1995</v>
      </c>
      <c r="CR7" s="5" t="s">
        <v>1996</v>
      </c>
      <c r="CS7" s="5" t="s">
        <v>1959</v>
      </c>
      <c r="CT7" s="5" t="s">
        <v>1960</v>
      </c>
      <c r="CU7" s="5" t="s">
        <v>1961</v>
      </c>
      <c r="CV7" s="5" t="s">
        <v>1962</v>
      </c>
    </row>
    <row r="8" spans="1:100" s="4" customFormat="1" ht="11.25">
      <c r="A8" s="5" t="s">
        <v>1081</v>
      </c>
      <c r="B8" s="5" t="s">
        <v>732</v>
      </c>
      <c r="C8" s="5" t="s">
        <v>1944</v>
      </c>
      <c r="D8" s="5" t="s">
        <v>1944</v>
      </c>
      <c r="E8" s="5" t="s">
        <v>136</v>
      </c>
      <c r="F8" s="5" t="s">
        <v>1082</v>
      </c>
      <c r="G8" s="5" t="s">
        <v>138</v>
      </c>
      <c r="H8" s="5" t="s">
        <v>474</v>
      </c>
      <c r="I8" s="5" t="s">
        <v>151</v>
      </c>
      <c r="J8" s="5" t="s">
        <v>1944</v>
      </c>
      <c r="K8" s="6"/>
      <c r="L8" s="5"/>
      <c r="M8" s="6"/>
      <c r="N8" s="5" t="s">
        <v>1945</v>
      </c>
      <c r="O8" s="6">
        <v>45356.729178240697</v>
      </c>
      <c r="P8" s="6">
        <v>45730.571458333303</v>
      </c>
      <c r="Q8" s="7">
        <v>4</v>
      </c>
      <c r="R8" s="5"/>
      <c r="S8" s="7">
        <v>12288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142</v>
      </c>
      <c r="AA8" s="7"/>
      <c r="AB8" s="5" t="s">
        <v>1946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1972</v>
      </c>
      <c r="AP8" s="5" t="s">
        <v>1964</v>
      </c>
      <c r="AQ8" s="5" t="s">
        <v>1965</v>
      </c>
      <c r="AR8" s="5"/>
      <c r="AS8" s="5" t="s">
        <v>1950</v>
      </c>
      <c r="AT8" s="5" t="s">
        <v>150</v>
      </c>
      <c r="AU8" s="7"/>
      <c r="AV8" s="5" t="s">
        <v>151</v>
      </c>
      <c r="AW8" s="7">
        <v>-1</v>
      </c>
      <c r="AX8" s="7">
        <v>-1</v>
      </c>
      <c r="AY8" s="5"/>
      <c r="AZ8" s="7">
        <v>13490</v>
      </c>
      <c r="BA8" s="7">
        <v>0</v>
      </c>
      <c r="BB8" s="7">
        <v>0</v>
      </c>
      <c r="BC8" s="5" t="s">
        <v>152</v>
      </c>
      <c r="BD8" s="5" t="s">
        <v>153</v>
      </c>
      <c r="BE8" s="5" t="s">
        <v>154</v>
      </c>
      <c r="BF8" s="5"/>
      <c r="BG8" s="5"/>
      <c r="BH8" s="5" t="s">
        <v>1944</v>
      </c>
      <c r="BI8" s="7">
        <v>0</v>
      </c>
      <c r="BJ8" s="7">
        <v>10000</v>
      </c>
      <c r="BK8" s="5" t="s">
        <v>1944</v>
      </c>
      <c r="BL8" s="5" t="s">
        <v>1944</v>
      </c>
      <c r="BM8" s="5"/>
      <c r="BN8" s="5" t="s">
        <v>1944</v>
      </c>
      <c r="BO8" s="5" t="s">
        <v>155</v>
      </c>
      <c r="BP8" s="7">
        <v>13</v>
      </c>
      <c r="BQ8" s="5" t="s">
        <v>153</v>
      </c>
      <c r="BR8" s="5" t="s">
        <v>156</v>
      </c>
      <c r="BS8" s="5"/>
      <c r="BT8" s="5" t="s">
        <v>1997</v>
      </c>
      <c r="BU8" s="5" t="s">
        <v>1998</v>
      </c>
      <c r="BV8" s="5" t="s">
        <v>1998</v>
      </c>
      <c r="BW8" s="5" t="s">
        <v>1998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1953</v>
      </c>
      <c r="CJ8" s="5" t="s">
        <v>1954</v>
      </c>
      <c r="CK8" s="5" t="s">
        <v>1955</v>
      </c>
      <c r="CL8" s="5" t="s">
        <v>826</v>
      </c>
      <c r="CM8" s="5" t="s">
        <v>826</v>
      </c>
      <c r="CN8" s="5"/>
      <c r="CO8" s="5"/>
      <c r="CP8" s="5" t="s">
        <v>1999</v>
      </c>
      <c r="CQ8" s="5" t="s">
        <v>2000</v>
      </c>
      <c r="CR8" s="5" t="s">
        <v>2001</v>
      </c>
      <c r="CS8" s="5" t="s">
        <v>1959</v>
      </c>
      <c r="CT8" s="5" t="s">
        <v>1960</v>
      </c>
      <c r="CU8" s="5" t="s">
        <v>1961</v>
      </c>
      <c r="CV8" s="5" t="s">
        <v>1962</v>
      </c>
    </row>
    <row r="9" spans="1:100" s="4" customFormat="1" ht="11.25">
      <c r="A9" s="5" t="s">
        <v>1105</v>
      </c>
      <c r="B9" s="5" t="s">
        <v>732</v>
      </c>
      <c r="C9" s="5" t="s">
        <v>1944</v>
      </c>
      <c r="D9" s="5" t="s">
        <v>1944</v>
      </c>
      <c r="E9" s="5" t="s">
        <v>136</v>
      </c>
      <c r="F9" s="5"/>
      <c r="G9" s="5" t="s">
        <v>138</v>
      </c>
      <c r="H9" s="5" t="s">
        <v>474</v>
      </c>
      <c r="I9" s="5" t="s">
        <v>151</v>
      </c>
      <c r="J9" s="5" t="s">
        <v>1944</v>
      </c>
      <c r="K9" s="6"/>
      <c r="L9" s="5"/>
      <c r="M9" s="6"/>
      <c r="N9" s="5" t="s">
        <v>1945</v>
      </c>
      <c r="O9" s="6">
        <v>45722.380023148202</v>
      </c>
      <c r="P9" s="6">
        <v>45730.621168981503</v>
      </c>
      <c r="Q9" s="7">
        <v>4</v>
      </c>
      <c r="R9" s="5"/>
      <c r="S9" s="7">
        <v>2048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142</v>
      </c>
      <c r="AA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1963</v>
      </c>
      <c r="AP9" s="5" t="s">
        <v>1948</v>
      </c>
      <c r="AQ9" s="5" t="s">
        <v>1949</v>
      </c>
      <c r="AR9" s="5"/>
      <c r="AS9" s="5"/>
      <c r="AT9" s="5" t="s">
        <v>150</v>
      </c>
      <c r="AU9" s="7"/>
      <c r="AV9" s="5" t="s">
        <v>151</v>
      </c>
      <c r="AW9" s="7">
        <v>-1</v>
      </c>
      <c r="AX9" s="7">
        <v>-1</v>
      </c>
      <c r="AY9" s="5"/>
      <c r="AZ9" s="7">
        <v>3905</v>
      </c>
      <c r="BA9" s="7">
        <v>0</v>
      </c>
      <c r="BB9" s="7">
        <v>0</v>
      </c>
      <c r="BC9" s="5" t="s">
        <v>152</v>
      </c>
      <c r="BD9" s="5" t="s">
        <v>153</v>
      </c>
      <c r="BE9" s="5" t="s">
        <v>154</v>
      </c>
      <c r="BF9" s="5"/>
      <c r="BG9" s="5"/>
      <c r="BH9" s="5" t="s">
        <v>1944</v>
      </c>
      <c r="BI9" s="7">
        <v>0</v>
      </c>
      <c r="BJ9" s="7">
        <v>10000</v>
      </c>
      <c r="BK9" s="5" t="s">
        <v>1944</v>
      </c>
      <c r="BL9" s="5" t="s">
        <v>1944</v>
      </c>
      <c r="BM9" s="5"/>
      <c r="BN9" s="5" t="s">
        <v>1944</v>
      </c>
      <c r="BO9" s="5" t="s">
        <v>155</v>
      </c>
      <c r="BP9" s="7">
        <v>14</v>
      </c>
      <c r="BQ9" s="5" t="s">
        <v>153</v>
      </c>
      <c r="BR9" s="5" t="s">
        <v>156</v>
      </c>
      <c r="BS9" s="5"/>
      <c r="BT9" s="5" t="s">
        <v>2002</v>
      </c>
      <c r="BU9" s="5" t="s">
        <v>2003</v>
      </c>
      <c r="BV9" s="5" t="s">
        <v>2003</v>
      </c>
      <c r="BW9" s="5" t="s">
        <v>2003</v>
      </c>
      <c r="BX9" s="5" t="s">
        <v>1111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1953</v>
      </c>
      <c r="CJ9" s="5" t="s">
        <v>1954</v>
      </c>
      <c r="CK9" s="5" t="s">
        <v>1968</v>
      </c>
      <c r="CL9" s="5" t="s">
        <v>1115</v>
      </c>
      <c r="CM9" s="5" t="s">
        <v>1115</v>
      </c>
      <c r="CN9" s="5"/>
      <c r="CO9" s="5"/>
      <c r="CP9" s="5" t="s">
        <v>2004</v>
      </c>
      <c r="CQ9" s="5" t="s">
        <v>2005</v>
      </c>
      <c r="CR9" s="5" t="s">
        <v>2006</v>
      </c>
      <c r="CS9" s="5" t="s">
        <v>1959</v>
      </c>
      <c r="CT9" s="5" t="s">
        <v>1960</v>
      </c>
      <c r="CU9" s="5" t="s">
        <v>1961</v>
      </c>
      <c r="CV9" s="5" t="s">
        <v>1962</v>
      </c>
    </row>
    <row r="10" spans="1:100" s="8" customFormat="1" ht="11.25">
      <c r="A10" s="10" t="s">
        <v>2007</v>
      </c>
      <c r="B10" s="10" t="s">
        <v>135</v>
      </c>
      <c r="C10" s="10" t="s">
        <v>1944</v>
      </c>
      <c r="D10" s="10" t="s">
        <v>1944</v>
      </c>
      <c r="E10" s="10" t="s">
        <v>136</v>
      </c>
      <c r="F10" s="10" t="s">
        <v>1258</v>
      </c>
      <c r="G10" s="10" t="s">
        <v>138</v>
      </c>
      <c r="H10" s="10" t="s">
        <v>139</v>
      </c>
      <c r="I10" s="10" t="s">
        <v>136</v>
      </c>
      <c r="J10" s="10" t="s">
        <v>1944</v>
      </c>
      <c r="K10" s="12">
        <v>45621.465833333299</v>
      </c>
      <c r="L10" s="10"/>
      <c r="M10" s="12"/>
      <c r="N10" s="10" t="s">
        <v>1945</v>
      </c>
      <c r="O10" s="12">
        <v>25568.791666666701</v>
      </c>
      <c r="P10" s="12">
        <v>45756.419861111099</v>
      </c>
      <c r="Q10" s="13">
        <v>4</v>
      </c>
      <c r="R10" s="10" t="s">
        <v>140</v>
      </c>
      <c r="S10" s="13">
        <v>20480</v>
      </c>
      <c r="T10" s="13">
        <v>204</v>
      </c>
      <c r="U10" s="13">
        <v>3</v>
      </c>
      <c r="V10" s="13">
        <v>8</v>
      </c>
      <c r="W10" s="13">
        <v>9158656</v>
      </c>
      <c r="X10" s="10"/>
      <c r="Y10" s="13" t="s">
        <v>311</v>
      </c>
      <c r="Z10" s="10" t="s">
        <v>142</v>
      </c>
      <c r="AA10" s="13"/>
      <c r="AB10" s="10"/>
      <c r="AC10" s="10" t="s">
        <v>1946</v>
      </c>
      <c r="AD10" s="10" t="s">
        <v>2008</v>
      </c>
      <c r="AE10" s="10" t="s">
        <v>2009</v>
      </c>
      <c r="AF10" s="10" t="s">
        <v>2010</v>
      </c>
      <c r="AG10" s="10" t="s">
        <v>2011</v>
      </c>
      <c r="AH10" s="10"/>
      <c r="AI10" s="10"/>
      <c r="AJ10" s="10"/>
      <c r="AK10" s="10"/>
      <c r="AL10" s="10"/>
      <c r="AM10" s="13">
        <v>1</v>
      </c>
      <c r="AN10" s="13">
        <v>4096</v>
      </c>
      <c r="AO10" s="10" t="s">
        <v>1963</v>
      </c>
      <c r="AP10" s="10" t="s">
        <v>1964</v>
      </c>
      <c r="AQ10" s="10" t="s">
        <v>1965</v>
      </c>
      <c r="AR10" s="10"/>
      <c r="AS10" s="10" t="s">
        <v>1950</v>
      </c>
      <c r="AT10" s="10" t="s">
        <v>150</v>
      </c>
      <c r="AU10" s="13"/>
      <c r="AV10" s="10" t="s">
        <v>151</v>
      </c>
      <c r="AW10" s="13">
        <v>-1</v>
      </c>
      <c r="AX10" s="13">
        <v>-1</v>
      </c>
      <c r="AY10" s="10"/>
      <c r="AZ10" s="13">
        <v>9179519</v>
      </c>
      <c r="BA10" s="13">
        <v>8773060</v>
      </c>
      <c r="BB10" s="13">
        <v>8752197</v>
      </c>
      <c r="BC10" s="10" t="s">
        <v>152</v>
      </c>
      <c r="BD10" s="10" t="s">
        <v>153</v>
      </c>
      <c r="BE10" s="10" t="s">
        <v>154</v>
      </c>
      <c r="BF10" s="10"/>
      <c r="BG10" s="10"/>
      <c r="BH10" s="10" t="s">
        <v>1944</v>
      </c>
      <c r="BI10" s="13">
        <v>0</v>
      </c>
      <c r="BJ10" s="13">
        <v>10000</v>
      </c>
      <c r="BK10" s="10" t="s">
        <v>1944</v>
      </c>
      <c r="BL10" s="10" t="s">
        <v>1944</v>
      </c>
      <c r="BM10" s="10"/>
      <c r="BN10" s="10" t="s">
        <v>1944</v>
      </c>
      <c r="BO10" s="10" t="s">
        <v>155</v>
      </c>
      <c r="BP10" s="13">
        <v>14</v>
      </c>
      <c r="BQ10" s="10" t="s">
        <v>153</v>
      </c>
      <c r="BR10" s="10" t="s">
        <v>156</v>
      </c>
      <c r="BS10" s="10"/>
      <c r="BT10" s="10" t="s">
        <v>2012</v>
      </c>
      <c r="BU10" s="10" t="s">
        <v>2013</v>
      </c>
      <c r="BV10" s="10" t="s">
        <v>2013</v>
      </c>
      <c r="BW10" s="10" t="s">
        <v>2013</v>
      </c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 t="s">
        <v>1953</v>
      </c>
      <c r="CJ10" s="10" t="s">
        <v>1954</v>
      </c>
      <c r="CK10" s="10" t="s">
        <v>2014</v>
      </c>
      <c r="CL10" s="10" t="s">
        <v>1115</v>
      </c>
      <c r="CM10" s="10" t="s">
        <v>1116</v>
      </c>
      <c r="CN10" s="10" t="s">
        <v>166</v>
      </c>
      <c r="CO10" s="10"/>
      <c r="CP10" s="10" t="s">
        <v>2015</v>
      </c>
      <c r="CQ10" s="10" t="s">
        <v>1265</v>
      </c>
      <c r="CR10" s="10" t="s">
        <v>1266</v>
      </c>
      <c r="CS10" s="10" t="s">
        <v>1959</v>
      </c>
      <c r="CT10" s="10" t="s">
        <v>1960</v>
      </c>
      <c r="CU10" s="10" t="s">
        <v>1961</v>
      </c>
      <c r="CV10" s="10" t="s">
        <v>1962</v>
      </c>
    </row>
    <row r="11" spans="1:100" s="4" customFormat="1" ht="11.25">
      <c r="A11" s="5" t="s">
        <v>1324</v>
      </c>
      <c r="B11" s="5" t="s">
        <v>732</v>
      </c>
      <c r="C11" s="5" t="s">
        <v>1944</v>
      </c>
      <c r="D11" s="5" t="s">
        <v>1944</v>
      </c>
      <c r="E11" s="5" t="s">
        <v>136</v>
      </c>
      <c r="F11" s="5" t="s">
        <v>1325</v>
      </c>
      <c r="G11" s="5" t="s">
        <v>138</v>
      </c>
      <c r="H11" s="5" t="s">
        <v>474</v>
      </c>
      <c r="I11" s="5" t="s">
        <v>151</v>
      </c>
      <c r="J11" s="5" t="s">
        <v>1944</v>
      </c>
      <c r="K11" s="6"/>
      <c r="L11" s="5"/>
      <c r="M11" s="6"/>
      <c r="N11" s="5" t="s">
        <v>1945</v>
      </c>
      <c r="O11" s="6">
        <v>45316.513807870397</v>
      </c>
      <c r="P11" s="6">
        <v>45737.461180555598</v>
      </c>
      <c r="Q11" s="7">
        <v>2</v>
      </c>
      <c r="R11" s="5"/>
      <c r="S11" s="7">
        <v>12288</v>
      </c>
      <c r="T11" s="7">
        <v>0</v>
      </c>
      <c r="U11" s="7">
        <v>0</v>
      </c>
      <c r="V11" s="7">
        <v>0</v>
      </c>
      <c r="W11" s="7">
        <v>0</v>
      </c>
      <c r="X11" s="5"/>
      <c r="Y11" s="7"/>
      <c r="Z11" s="5" t="s">
        <v>142</v>
      </c>
      <c r="AA11" s="7"/>
      <c r="AB11" s="5" t="s">
        <v>1946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7">
        <v>1</v>
      </c>
      <c r="AN11" s="7">
        <v>4096</v>
      </c>
      <c r="AO11" s="5" t="s">
        <v>2016</v>
      </c>
      <c r="AP11" s="5" t="s">
        <v>1948</v>
      </c>
      <c r="AQ11" s="5" t="s">
        <v>1949</v>
      </c>
      <c r="AR11" s="5"/>
      <c r="AS11" s="5"/>
      <c r="AT11" s="5" t="s">
        <v>150</v>
      </c>
      <c r="AU11" s="7"/>
      <c r="AV11" s="5" t="s">
        <v>151</v>
      </c>
      <c r="AW11" s="7">
        <v>-1</v>
      </c>
      <c r="AX11" s="7">
        <v>-1</v>
      </c>
      <c r="AY11" s="5"/>
      <c r="AZ11" s="7">
        <v>14146</v>
      </c>
      <c r="BA11" s="7">
        <v>0</v>
      </c>
      <c r="BB11" s="7">
        <v>0</v>
      </c>
      <c r="BC11" s="5" t="s">
        <v>152</v>
      </c>
      <c r="BD11" s="5" t="s">
        <v>153</v>
      </c>
      <c r="BE11" s="5" t="s">
        <v>154</v>
      </c>
      <c r="BF11" s="5"/>
      <c r="BG11" s="5"/>
      <c r="BH11" s="5" t="s">
        <v>1944</v>
      </c>
      <c r="BI11" s="7">
        <v>0</v>
      </c>
      <c r="BJ11" s="7">
        <v>10000</v>
      </c>
      <c r="BK11" s="5" t="s">
        <v>1944</v>
      </c>
      <c r="BL11" s="5" t="s">
        <v>1944</v>
      </c>
      <c r="BM11" s="5"/>
      <c r="BN11" s="5" t="s">
        <v>1944</v>
      </c>
      <c r="BO11" s="5" t="s">
        <v>155</v>
      </c>
      <c r="BP11" s="7">
        <v>15</v>
      </c>
      <c r="BQ11" s="5" t="s">
        <v>153</v>
      </c>
      <c r="BR11" s="5" t="s">
        <v>156</v>
      </c>
      <c r="BS11" s="5"/>
      <c r="BT11" s="5" t="s">
        <v>2017</v>
      </c>
      <c r="BU11" s="5" t="s">
        <v>2018</v>
      </c>
      <c r="BV11" s="5" t="s">
        <v>2018</v>
      </c>
      <c r="BW11" s="5" t="s">
        <v>2018</v>
      </c>
      <c r="BX11" s="5" t="s">
        <v>1336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1953</v>
      </c>
      <c r="CJ11" s="5" t="s">
        <v>1992</v>
      </c>
      <c r="CK11" s="5" t="s">
        <v>1993</v>
      </c>
      <c r="CL11" s="5" t="s">
        <v>1042</v>
      </c>
      <c r="CM11" s="5"/>
      <c r="CN11" s="5"/>
      <c r="CO11" s="5"/>
      <c r="CP11" s="5" t="s">
        <v>2019</v>
      </c>
      <c r="CQ11" s="5" t="s">
        <v>2020</v>
      </c>
      <c r="CR11" s="5" t="s">
        <v>2021</v>
      </c>
      <c r="CS11" s="5" t="s">
        <v>1959</v>
      </c>
      <c r="CT11" s="5" t="s">
        <v>1960</v>
      </c>
      <c r="CU11" s="5" t="s">
        <v>1961</v>
      </c>
      <c r="CV11" s="5" t="s">
        <v>1962</v>
      </c>
    </row>
    <row r="12" spans="1:100" s="4" customFormat="1" ht="11.25">
      <c r="A12" s="5" t="s">
        <v>1407</v>
      </c>
      <c r="B12" s="5" t="s">
        <v>732</v>
      </c>
      <c r="C12" s="5" t="s">
        <v>1944</v>
      </c>
      <c r="D12" s="5" t="s">
        <v>1944</v>
      </c>
      <c r="E12" s="5" t="s">
        <v>136</v>
      </c>
      <c r="F12" s="5" t="s">
        <v>1408</v>
      </c>
      <c r="G12" s="5" t="s">
        <v>138</v>
      </c>
      <c r="H12" s="5" t="s">
        <v>474</v>
      </c>
      <c r="I12" s="5" t="s">
        <v>151</v>
      </c>
      <c r="J12" s="5" t="s">
        <v>1944</v>
      </c>
      <c r="K12" s="6"/>
      <c r="L12" s="5"/>
      <c r="M12" s="6"/>
      <c r="N12" s="5" t="s">
        <v>1945</v>
      </c>
      <c r="O12" s="6">
        <v>45506.8738310185</v>
      </c>
      <c r="P12" s="6">
        <v>45737.461273148103</v>
      </c>
      <c r="Q12" s="7">
        <v>4</v>
      </c>
      <c r="R12" s="5"/>
      <c r="S12" s="7">
        <v>8192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142</v>
      </c>
      <c r="AA12" s="7"/>
      <c r="AB12" s="5" t="s">
        <v>1946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1989</v>
      </c>
      <c r="AP12" s="5" t="s">
        <v>1964</v>
      </c>
      <c r="AQ12" s="5" t="s">
        <v>1965</v>
      </c>
      <c r="AR12" s="5"/>
      <c r="AS12" s="5"/>
      <c r="AT12" s="5" t="s">
        <v>150</v>
      </c>
      <c r="AU12" s="7"/>
      <c r="AV12" s="5" t="s">
        <v>151</v>
      </c>
      <c r="AW12" s="7">
        <v>-1</v>
      </c>
      <c r="AX12" s="7">
        <v>-1</v>
      </c>
      <c r="AY12" s="5"/>
      <c r="AZ12" s="7">
        <v>9396</v>
      </c>
      <c r="BA12" s="7">
        <v>0</v>
      </c>
      <c r="BB12" s="7">
        <v>0</v>
      </c>
      <c r="BC12" s="5" t="s">
        <v>152</v>
      </c>
      <c r="BD12" s="5" t="s">
        <v>153</v>
      </c>
      <c r="BE12" s="5" t="s">
        <v>154</v>
      </c>
      <c r="BF12" s="5"/>
      <c r="BG12" s="5"/>
      <c r="BH12" s="5" t="s">
        <v>1944</v>
      </c>
      <c r="BI12" s="7">
        <v>0</v>
      </c>
      <c r="BJ12" s="7">
        <v>10000</v>
      </c>
      <c r="BK12" s="5" t="s">
        <v>1944</v>
      </c>
      <c r="BL12" s="5" t="s">
        <v>1944</v>
      </c>
      <c r="BM12" s="5"/>
      <c r="BN12" s="5" t="s">
        <v>1944</v>
      </c>
      <c r="BO12" s="5" t="s">
        <v>155</v>
      </c>
      <c r="BP12" s="7">
        <v>13</v>
      </c>
      <c r="BQ12" s="5" t="s">
        <v>153</v>
      </c>
      <c r="BR12" s="5" t="s">
        <v>156</v>
      </c>
      <c r="BS12" s="5"/>
      <c r="BT12" s="5" t="s">
        <v>2022</v>
      </c>
      <c r="BU12" s="5" t="s">
        <v>2023</v>
      </c>
      <c r="BV12" s="5" t="s">
        <v>2023</v>
      </c>
      <c r="BW12" s="5" t="s">
        <v>2023</v>
      </c>
      <c r="BX12" s="5"/>
      <c r="BY12" s="5"/>
      <c r="BZ12" s="5"/>
      <c r="CA12" s="5"/>
      <c r="CB12" s="5"/>
      <c r="CC12" s="5"/>
      <c r="CD12" s="5" t="s">
        <v>2024</v>
      </c>
      <c r="CE12" s="5"/>
      <c r="CF12" s="5"/>
      <c r="CG12" s="5"/>
      <c r="CH12" s="5"/>
      <c r="CI12" s="5" t="s">
        <v>1953</v>
      </c>
      <c r="CJ12" s="5" t="s">
        <v>1992</v>
      </c>
      <c r="CK12" s="5" t="s">
        <v>1993</v>
      </c>
      <c r="CL12" s="5" t="s">
        <v>826</v>
      </c>
      <c r="CM12" s="5"/>
      <c r="CN12" s="5"/>
      <c r="CO12" s="5"/>
      <c r="CP12" s="5" t="s">
        <v>2024</v>
      </c>
      <c r="CQ12" s="5" t="s">
        <v>2025</v>
      </c>
      <c r="CR12" s="5" t="s">
        <v>2026</v>
      </c>
      <c r="CS12" s="5" t="s">
        <v>1959</v>
      </c>
      <c r="CT12" s="5" t="s">
        <v>1960</v>
      </c>
      <c r="CU12" s="5" t="s">
        <v>1961</v>
      </c>
      <c r="CV12" s="5" t="s">
        <v>1962</v>
      </c>
    </row>
    <row r="13" spans="1:100" s="4" customFormat="1" ht="11.25">
      <c r="A13" s="5" t="s">
        <v>1508</v>
      </c>
      <c r="B13" s="5" t="s">
        <v>732</v>
      </c>
      <c r="C13" s="5" t="s">
        <v>1944</v>
      </c>
      <c r="D13" s="5" t="s">
        <v>1944</v>
      </c>
      <c r="E13" s="5" t="s">
        <v>136</v>
      </c>
      <c r="F13" s="5" t="s">
        <v>1509</v>
      </c>
      <c r="G13" s="5" t="s">
        <v>138</v>
      </c>
      <c r="H13" s="5" t="s">
        <v>474</v>
      </c>
      <c r="I13" s="5" t="s">
        <v>151</v>
      </c>
      <c r="J13" s="5" t="s">
        <v>1944</v>
      </c>
      <c r="K13" s="6"/>
      <c r="L13" s="5"/>
      <c r="M13" s="6"/>
      <c r="N13" s="5" t="s">
        <v>1945</v>
      </c>
      <c r="O13" s="6">
        <v>45707.520115740699</v>
      </c>
      <c r="P13" s="6">
        <v>45730.621168981503</v>
      </c>
      <c r="Q13" s="7">
        <v>4</v>
      </c>
      <c r="R13" s="5"/>
      <c r="S13" s="7">
        <v>16384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142</v>
      </c>
      <c r="AA13" s="7"/>
      <c r="AB13" s="5" t="s">
        <v>1946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2027</v>
      </c>
      <c r="AP13" s="5" t="s">
        <v>1948</v>
      </c>
      <c r="AQ13" s="5" t="s">
        <v>1949</v>
      </c>
      <c r="AR13" s="5"/>
      <c r="AS13" s="5" t="s">
        <v>1950</v>
      </c>
      <c r="AT13" s="5" t="s">
        <v>150</v>
      </c>
      <c r="AU13" s="7"/>
      <c r="AV13" s="5" t="s">
        <v>151</v>
      </c>
      <c r="AW13" s="7">
        <v>-1</v>
      </c>
      <c r="AX13" s="7">
        <v>-1</v>
      </c>
      <c r="AY13" s="5"/>
      <c r="AZ13" s="7">
        <v>18114</v>
      </c>
      <c r="BA13" s="7">
        <v>0</v>
      </c>
      <c r="BB13" s="7">
        <v>0</v>
      </c>
      <c r="BC13" s="5" t="s">
        <v>152</v>
      </c>
      <c r="BD13" s="5" t="s">
        <v>153</v>
      </c>
      <c r="BE13" s="5" t="s">
        <v>154</v>
      </c>
      <c r="BF13" s="5"/>
      <c r="BG13" s="5"/>
      <c r="BH13" s="5" t="s">
        <v>1944</v>
      </c>
      <c r="BI13" s="7">
        <v>0</v>
      </c>
      <c r="BJ13" s="7">
        <v>10000</v>
      </c>
      <c r="BK13" s="5" t="s">
        <v>1944</v>
      </c>
      <c r="BL13" s="5" t="s">
        <v>1944</v>
      </c>
      <c r="BM13" s="5"/>
      <c r="BN13" s="5" t="s">
        <v>1944</v>
      </c>
      <c r="BO13" s="5" t="s">
        <v>155</v>
      </c>
      <c r="BP13" s="7">
        <v>19</v>
      </c>
      <c r="BQ13" s="5" t="s">
        <v>153</v>
      </c>
      <c r="BR13" s="5" t="s">
        <v>156</v>
      </c>
      <c r="BS13" s="5"/>
      <c r="BT13" s="5" t="s">
        <v>2028</v>
      </c>
      <c r="BU13" s="5" t="s">
        <v>2029</v>
      </c>
      <c r="BV13" s="5" t="s">
        <v>2029</v>
      </c>
      <c r="BW13" s="5" t="s">
        <v>2029</v>
      </c>
      <c r="BX13" s="5" t="s">
        <v>1468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1953</v>
      </c>
      <c r="CJ13" s="5" t="s">
        <v>1954</v>
      </c>
      <c r="CK13" s="5" t="s">
        <v>1968</v>
      </c>
      <c r="CL13" s="5" t="s">
        <v>826</v>
      </c>
      <c r="CM13" s="5"/>
      <c r="CN13" s="5"/>
      <c r="CO13" s="5"/>
      <c r="CP13" s="5" t="s">
        <v>2030</v>
      </c>
      <c r="CQ13" s="5" t="s">
        <v>2031</v>
      </c>
      <c r="CR13" s="5" t="s">
        <v>2032</v>
      </c>
      <c r="CS13" s="5" t="s">
        <v>1959</v>
      </c>
      <c r="CT13" s="5" t="s">
        <v>1960</v>
      </c>
      <c r="CU13" s="5" t="s">
        <v>1961</v>
      </c>
      <c r="CV13" s="5" t="s">
        <v>1962</v>
      </c>
    </row>
    <row r="14" spans="1:100" s="4" customFormat="1" ht="11.25">
      <c r="A14" s="5" t="s">
        <v>1571</v>
      </c>
      <c r="B14" s="5" t="s">
        <v>732</v>
      </c>
      <c r="C14" s="5" t="s">
        <v>1944</v>
      </c>
      <c r="D14" s="5" t="s">
        <v>1944</v>
      </c>
      <c r="E14" s="5" t="s">
        <v>136</v>
      </c>
      <c r="F14" s="5" t="s">
        <v>1572</v>
      </c>
      <c r="G14" s="5" t="s">
        <v>138</v>
      </c>
      <c r="H14" s="5" t="s">
        <v>474</v>
      </c>
      <c r="I14" s="5" t="s">
        <v>151</v>
      </c>
      <c r="J14" s="5" t="s">
        <v>1944</v>
      </c>
      <c r="K14" s="6"/>
      <c r="L14" s="5"/>
      <c r="M14" s="6"/>
      <c r="N14" s="5" t="s">
        <v>1945</v>
      </c>
      <c r="O14" s="6">
        <v>45316.513807870397</v>
      </c>
      <c r="P14" s="6">
        <v>45341.624108796299</v>
      </c>
      <c r="Q14" s="7">
        <v>2</v>
      </c>
      <c r="R14" s="5"/>
      <c r="S14" s="7">
        <v>8192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142</v>
      </c>
      <c r="AA14" s="7"/>
      <c r="AB14" s="5" t="s">
        <v>1946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2016</v>
      </c>
      <c r="AP14" s="5" t="s">
        <v>1964</v>
      </c>
      <c r="AQ14" s="5" t="s">
        <v>1965</v>
      </c>
      <c r="AR14" s="5"/>
      <c r="AS14" s="5"/>
      <c r="AT14" s="5" t="s">
        <v>150</v>
      </c>
      <c r="AU14" s="7"/>
      <c r="AV14" s="5" t="s">
        <v>151</v>
      </c>
      <c r="AW14" s="7">
        <v>-1</v>
      </c>
      <c r="AX14" s="7">
        <v>-1</v>
      </c>
      <c r="AY14" s="5"/>
      <c r="AZ14" s="7">
        <v>10050</v>
      </c>
      <c r="BA14" s="7">
        <v>0</v>
      </c>
      <c r="BB14" s="7">
        <v>0</v>
      </c>
      <c r="BC14" s="5" t="s">
        <v>152</v>
      </c>
      <c r="BD14" s="5" t="s">
        <v>153</v>
      </c>
      <c r="BE14" s="5" t="s">
        <v>154</v>
      </c>
      <c r="BF14" s="5"/>
      <c r="BG14" s="5"/>
      <c r="BH14" s="5" t="s">
        <v>1944</v>
      </c>
      <c r="BI14" s="7">
        <v>0</v>
      </c>
      <c r="BJ14" s="7">
        <v>10000</v>
      </c>
      <c r="BK14" s="5" t="s">
        <v>1944</v>
      </c>
      <c r="BL14" s="5" t="s">
        <v>1944</v>
      </c>
      <c r="BM14" s="5"/>
      <c r="BN14" s="5" t="s">
        <v>1944</v>
      </c>
      <c r="BO14" s="5" t="s">
        <v>155</v>
      </c>
      <c r="BP14" s="7">
        <v>15</v>
      </c>
      <c r="BQ14" s="5" t="s">
        <v>153</v>
      </c>
      <c r="BR14" s="5" t="s">
        <v>156</v>
      </c>
      <c r="BS14" s="5"/>
      <c r="BT14" s="5" t="s">
        <v>2033</v>
      </c>
      <c r="BU14" s="5" t="s">
        <v>2034</v>
      </c>
      <c r="BV14" s="5" t="s">
        <v>2034</v>
      </c>
      <c r="BW14" s="5" t="s">
        <v>2034</v>
      </c>
      <c r="BX14" s="5" t="s">
        <v>1576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1953</v>
      </c>
      <c r="CJ14" s="5" t="s">
        <v>1992</v>
      </c>
      <c r="CK14" s="5" t="s">
        <v>2035</v>
      </c>
      <c r="CL14" s="5" t="s">
        <v>1042</v>
      </c>
      <c r="CM14" s="5"/>
      <c r="CN14" s="5"/>
      <c r="CO14" s="5"/>
      <c r="CP14" s="5" t="s">
        <v>2036</v>
      </c>
      <c r="CQ14" s="5" t="s">
        <v>2037</v>
      </c>
      <c r="CR14" s="5" t="s">
        <v>2038</v>
      </c>
      <c r="CS14" s="5" t="s">
        <v>1959</v>
      </c>
      <c r="CT14" s="5" t="s">
        <v>1960</v>
      </c>
      <c r="CU14" s="5" t="s">
        <v>1961</v>
      </c>
      <c r="CV14" s="5" t="s">
        <v>1962</v>
      </c>
    </row>
    <row r="15" spans="1:100" s="4" customFormat="1" ht="11.25">
      <c r="A15" s="5" t="s">
        <v>1678</v>
      </c>
      <c r="B15" s="5" t="s">
        <v>732</v>
      </c>
      <c r="C15" s="5" t="s">
        <v>1944</v>
      </c>
      <c r="D15" s="5" t="s">
        <v>1944</v>
      </c>
      <c r="E15" s="5" t="s">
        <v>136</v>
      </c>
      <c r="F15" s="5" t="s">
        <v>1679</v>
      </c>
      <c r="G15" s="5" t="s">
        <v>138</v>
      </c>
      <c r="H15" s="5" t="s">
        <v>474</v>
      </c>
      <c r="I15" s="5" t="s">
        <v>151</v>
      </c>
      <c r="J15" s="5" t="s">
        <v>1944</v>
      </c>
      <c r="K15" s="6"/>
      <c r="L15" s="5"/>
      <c r="M15" s="6"/>
      <c r="N15" s="5" t="s">
        <v>1945</v>
      </c>
      <c r="O15" s="6">
        <v>45700.4930439815</v>
      </c>
      <c r="P15" s="6">
        <v>45745.116956018501</v>
      </c>
      <c r="Q15" s="7">
        <v>4</v>
      </c>
      <c r="R15" s="5"/>
      <c r="S15" s="7">
        <v>12288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142</v>
      </c>
      <c r="AA15" s="7"/>
      <c r="AB15" s="5" t="s">
        <v>1946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1963</v>
      </c>
      <c r="AP15" s="5" t="s">
        <v>1948</v>
      </c>
      <c r="AQ15" s="5" t="s">
        <v>1949</v>
      </c>
      <c r="AR15" s="5"/>
      <c r="AS15" s="5" t="s">
        <v>1950</v>
      </c>
      <c r="AT15" s="5" t="s">
        <v>150</v>
      </c>
      <c r="AU15" s="7"/>
      <c r="AV15" s="5" t="s">
        <v>151</v>
      </c>
      <c r="AW15" s="7">
        <v>-1</v>
      </c>
      <c r="AX15" s="7">
        <v>-1</v>
      </c>
      <c r="AY15" s="5"/>
      <c r="AZ15" s="7">
        <v>14018</v>
      </c>
      <c r="BA15" s="7">
        <v>0</v>
      </c>
      <c r="BB15" s="7">
        <v>0</v>
      </c>
      <c r="BC15" s="5" t="s">
        <v>152</v>
      </c>
      <c r="BD15" s="5" t="s">
        <v>153</v>
      </c>
      <c r="BE15" s="5" t="s">
        <v>154</v>
      </c>
      <c r="BF15" s="5"/>
      <c r="BG15" s="5"/>
      <c r="BH15" s="5" t="s">
        <v>1944</v>
      </c>
      <c r="BI15" s="7">
        <v>0</v>
      </c>
      <c r="BJ15" s="7">
        <v>10000</v>
      </c>
      <c r="BK15" s="5" t="s">
        <v>1944</v>
      </c>
      <c r="BL15" s="5" t="s">
        <v>1944</v>
      </c>
      <c r="BM15" s="5"/>
      <c r="BN15" s="5" t="s">
        <v>1944</v>
      </c>
      <c r="BO15" s="5" t="s">
        <v>155</v>
      </c>
      <c r="BP15" s="7">
        <v>19</v>
      </c>
      <c r="BQ15" s="5" t="s">
        <v>153</v>
      </c>
      <c r="BR15" s="5" t="s">
        <v>156</v>
      </c>
      <c r="BS15" s="5"/>
      <c r="BT15" s="5" t="s">
        <v>2039</v>
      </c>
      <c r="BU15" s="5" t="s">
        <v>2040</v>
      </c>
      <c r="BV15" s="5" t="s">
        <v>2040</v>
      </c>
      <c r="BW15" s="5" t="s">
        <v>2040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1953</v>
      </c>
      <c r="CJ15" s="5" t="s">
        <v>1954</v>
      </c>
      <c r="CK15" s="5" t="s">
        <v>1976</v>
      </c>
      <c r="CL15" s="5" t="s">
        <v>213</v>
      </c>
      <c r="CM15" s="5" t="s">
        <v>213</v>
      </c>
      <c r="CN15" s="5"/>
      <c r="CO15" s="5"/>
      <c r="CP15" s="5" t="s">
        <v>2041</v>
      </c>
      <c r="CQ15" s="5" t="s">
        <v>2042</v>
      </c>
      <c r="CR15" s="5" t="s">
        <v>2043</v>
      </c>
      <c r="CS15" s="5" t="s">
        <v>1959</v>
      </c>
      <c r="CT15" s="5" t="s">
        <v>1960</v>
      </c>
      <c r="CU15" s="5" t="s">
        <v>1961</v>
      </c>
      <c r="CV15" s="5" t="s">
        <v>1962</v>
      </c>
    </row>
    <row r="16" spans="1:100" s="4" customFormat="1" ht="11.25">
      <c r="A16" s="5" t="s">
        <v>1713</v>
      </c>
      <c r="B16" s="5" t="s">
        <v>732</v>
      </c>
      <c r="C16" s="5" t="s">
        <v>1944</v>
      </c>
      <c r="D16" s="5" t="s">
        <v>1944</v>
      </c>
      <c r="E16" s="5" t="s">
        <v>136</v>
      </c>
      <c r="F16" s="5" t="s">
        <v>1714</v>
      </c>
      <c r="G16" s="5" t="s">
        <v>138</v>
      </c>
      <c r="H16" s="5" t="s">
        <v>474</v>
      </c>
      <c r="I16" s="5" t="s">
        <v>151</v>
      </c>
      <c r="J16" s="5" t="s">
        <v>1944</v>
      </c>
      <c r="K16" s="6"/>
      <c r="L16" s="5"/>
      <c r="M16" s="6"/>
      <c r="N16" s="5" t="s">
        <v>1945</v>
      </c>
      <c r="O16" s="6">
        <v>45316.638032407398</v>
      </c>
      <c r="P16" s="6">
        <v>45730.571458333303</v>
      </c>
      <c r="Q16" s="7">
        <v>4</v>
      </c>
      <c r="R16" s="5"/>
      <c r="S16" s="7">
        <v>16384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142</v>
      </c>
      <c r="AA16" s="7"/>
      <c r="AB16" s="5" t="s">
        <v>1946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1947</v>
      </c>
      <c r="AP16" s="5" t="s">
        <v>1964</v>
      </c>
      <c r="AQ16" s="5" t="s">
        <v>1965</v>
      </c>
      <c r="AR16" s="5"/>
      <c r="AS16" s="5" t="s">
        <v>1950</v>
      </c>
      <c r="AT16" s="5" t="s">
        <v>150</v>
      </c>
      <c r="AU16" s="7"/>
      <c r="AV16" s="5" t="s">
        <v>151</v>
      </c>
      <c r="AW16" s="7">
        <v>-1</v>
      </c>
      <c r="AX16" s="7">
        <v>-1</v>
      </c>
      <c r="AY16" s="5"/>
      <c r="AZ16" s="7">
        <v>18114</v>
      </c>
      <c r="BA16" s="7">
        <v>0</v>
      </c>
      <c r="BB16" s="7">
        <v>0</v>
      </c>
      <c r="BC16" s="5" t="s">
        <v>152</v>
      </c>
      <c r="BD16" s="5" t="s">
        <v>153</v>
      </c>
      <c r="BE16" s="5" t="s">
        <v>154</v>
      </c>
      <c r="BF16" s="5"/>
      <c r="BG16" s="5"/>
      <c r="BH16" s="5" t="s">
        <v>1944</v>
      </c>
      <c r="BI16" s="7">
        <v>0</v>
      </c>
      <c r="BJ16" s="7">
        <v>10000</v>
      </c>
      <c r="BK16" s="5" t="s">
        <v>1944</v>
      </c>
      <c r="BL16" s="5" t="s">
        <v>1944</v>
      </c>
      <c r="BM16" s="5"/>
      <c r="BN16" s="5" t="s">
        <v>1944</v>
      </c>
      <c r="BO16" s="5" t="s">
        <v>155</v>
      </c>
      <c r="BP16" s="7">
        <v>19</v>
      </c>
      <c r="BQ16" s="5" t="s">
        <v>153</v>
      </c>
      <c r="BR16" s="5" t="s">
        <v>156</v>
      </c>
      <c r="BS16" s="5"/>
      <c r="BT16" s="5" t="s">
        <v>2044</v>
      </c>
      <c r="BU16" s="5" t="s">
        <v>2045</v>
      </c>
      <c r="BV16" s="5" t="s">
        <v>2045</v>
      </c>
      <c r="BW16" s="5" t="s">
        <v>2045</v>
      </c>
      <c r="BX16" s="5" t="s">
        <v>239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1953</v>
      </c>
      <c r="CJ16" s="5" t="s">
        <v>1954</v>
      </c>
      <c r="CK16" s="5" t="s">
        <v>1955</v>
      </c>
      <c r="CL16" s="5" t="s">
        <v>213</v>
      </c>
      <c r="CM16" s="5" t="s">
        <v>213</v>
      </c>
      <c r="CN16" s="5"/>
      <c r="CO16" s="5"/>
      <c r="CP16" s="5" t="s">
        <v>2046</v>
      </c>
      <c r="CQ16" s="5" t="s">
        <v>2047</v>
      </c>
      <c r="CR16" s="5" t="s">
        <v>2048</v>
      </c>
      <c r="CS16" s="5" t="s">
        <v>1959</v>
      </c>
      <c r="CT16" s="5" t="s">
        <v>1960</v>
      </c>
      <c r="CU16" s="5" t="s">
        <v>1961</v>
      </c>
      <c r="CV16" s="5" t="s">
        <v>1962</v>
      </c>
    </row>
    <row r="17" spans="1:100" s="4" customFormat="1" ht="11.25">
      <c r="A17" s="5" t="s">
        <v>1724</v>
      </c>
      <c r="B17" s="5" t="s">
        <v>732</v>
      </c>
      <c r="C17" s="5" t="s">
        <v>1944</v>
      </c>
      <c r="D17" s="5" t="s">
        <v>1944</v>
      </c>
      <c r="E17" s="5" t="s">
        <v>136</v>
      </c>
      <c r="F17" s="5" t="s">
        <v>1725</v>
      </c>
      <c r="G17" s="5" t="s">
        <v>138</v>
      </c>
      <c r="H17" s="5" t="s">
        <v>474</v>
      </c>
      <c r="I17" s="5" t="s">
        <v>151</v>
      </c>
      <c r="J17" s="5" t="s">
        <v>1944</v>
      </c>
      <c r="K17" s="6"/>
      <c r="L17" s="5"/>
      <c r="M17" s="6"/>
      <c r="N17" s="5" t="s">
        <v>1945</v>
      </c>
      <c r="O17" s="6">
        <v>45356.481967592597</v>
      </c>
      <c r="P17" s="6">
        <v>45730.621168981503</v>
      </c>
      <c r="Q17" s="7">
        <v>8</v>
      </c>
      <c r="R17" s="5"/>
      <c r="S17" s="7">
        <v>30720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142</v>
      </c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1947</v>
      </c>
      <c r="AP17" s="5" t="s">
        <v>1964</v>
      </c>
      <c r="AQ17" s="5" t="s">
        <v>1965</v>
      </c>
      <c r="AR17" s="5"/>
      <c r="AS17" s="5" t="s">
        <v>1950</v>
      </c>
      <c r="AT17" s="5" t="s">
        <v>150</v>
      </c>
      <c r="AU17" s="7"/>
      <c r="AV17" s="5" t="s">
        <v>151</v>
      </c>
      <c r="AW17" s="7">
        <v>-1</v>
      </c>
      <c r="AX17" s="7">
        <v>-1</v>
      </c>
      <c r="AY17" s="5"/>
      <c r="AZ17" s="7">
        <v>32454</v>
      </c>
      <c r="BA17" s="7">
        <v>0</v>
      </c>
      <c r="BB17" s="7">
        <v>0</v>
      </c>
      <c r="BC17" s="5" t="s">
        <v>152</v>
      </c>
      <c r="BD17" s="5" t="s">
        <v>153</v>
      </c>
      <c r="BE17" s="5" t="s">
        <v>154</v>
      </c>
      <c r="BF17" s="5"/>
      <c r="BG17" s="5"/>
      <c r="BH17" s="5" t="s">
        <v>1944</v>
      </c>
      <c r="BI17" s="7">
        <v>0</v>
      </c>
      <c r="BJ17" s="7">
        <v>10000</v>
      </c>
      <c r="BK17" s="5" t="s">
        <v>1944</v>
      </c>
      <c r="BL17" s="5" t="s">
        <v>1944</v>
      </c>
      <c r="BM17" s="5"/>
      <c r="BN17" s="5" t="s">
        <v>1944</v>
      </c>
      <c r="BO17" s="5" t="s">
        <v>155</v>
      </c>
      <c r="BP17" s="7">
        <v>19</v>
      </c>
      <c r="BQ17" s="5" t="s">
        <v>153</v>
      </c>
      <c r="BR17" s="5" t="s">
        <v>156</v>
      </c>
      <c r="BS17" s="5"/>
      <c r="BT17" s="5" t="s">
        <v>2049</v>
      </c>
      <c r="BU17" s="5" t="s">
        <v>2050</v>
      </c>
      <c r="BV17" s="5" t="s">
        <v>2050</v>
      </c>
      <c r="BW17" s="5" t="s">
        <v>2050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1953</v>
      </c>
      <c r="CJ17" s="5" t="s">
        <v>1954</v>
      </c>
      <c r="CK17" s="5" t="s">
        <v>1968</v>
      </c>
      <c r="CL17" s="5" t="s">
        <v>479</v>
      </c>
      <c r="CM17" s="5" t="s">
        <v>479</v>
      </c>
      <c r="CN17" s="5"/>
      <c r="CO17" s="5"/>
      <c r="CP17" s="5" t="s">
        <v>2051</v>
      </c>
      <c r="CQ17" s="5" t="s">
        <v>2052</v>
      </c>
      <c r="CR17" s="5" t="s">
        <v>2053</v>
      </c>
      <c r="CS17" s="5" t="s">
        <v>1959</v>
      </c>
      <c r="CT17" s="5" t="s">
        <v>1960</v>
      </c>
      <c r="CU17" s="5" t="s">
        <v>1961</v>
      </c>
      <c r="CV17" s="5" t="s">
        <v>1962</v>
      </c>
    </row>
    <row r="18" spans="1:100" s="4" customFormat="1" ht="11.25">
      <c r="A18" s="5" t="s">
        <v>1737</v>
      </c>
      <c r="B18" s="5" t="s">
        <v>732</v>
      </c>
      <c r="C18" s="5" t="s">
        <v>1944</v>
      </c>
      <c r="D18" s="5" t="s">
        <v>1944</v>
      </c>
      <c r="E18" s="5" t="s">
        <v>136</v>
      </c>
      <c r="F18" s="5" t="s">
        <v>1738</v>
      </c>
      <c r="G18" s="5" t="s">
        <v>138</v>
      </c>
      <c r="H18" s="5" t="s">
        <v>474</v>
      </c>
      <c r="I18" s="5" t="s">
        <v>151</v>
      </c>
      <c r="J18" s="5" t="s">
        <v>1944</v>
      </c>
      <c r="K18" s="6"/>
      <c r="L18" s="5"/>
      <c r="M18" s="6"/>
      <c r="N18" s="5" t="s">
        <v>1945</v>
      </c>
      <c r="O18" s="6">
        <v>45614.6330787037</v>
      </c>
      <c r="P18" s="6">
        <v>45730.571446759299</v>
      </c>
      <c r="Q18" s="7">
        <v>4</v>
      </c>
      <c r="R18" s="5"/>
      <c r="S18" s="7">
        <v>12288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142</v>
      </c>
      <c r="AA18" s="7"/>
      <c r="AB18" s="5" t="s">
        <v>1946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1947</v>
      </c>
      <c r="AP18" s="5" t="s">
        <v>1964</v>
      </c>
      <c r="AQ18" s="5" t="s">
        <v>1965</v>
      </c>
      <c r="AR18" s="5"/>
      <c r="AS18" s="5" t="s">
        <v>1950</v>
      </c>
      <c r="AT18" s="5" t="s">
        <v>150</v>
      </c>
      <c r="AU18" s="7"/>
      <c r="AV18" s="5" t="s">
        <v>151</v>
      </c>
      <c r="AW18" s="7">
        <v>-1</v>
      </c>
      <c r="AX18" s="7">
        <v>-1</v>
      </c>
      <c r="AY18" s="5"/>
      <c r="AZ18" s="7">
        <v>14018</v>
      </c>
      <c r="BA18" s="7">
        <v>0</v>
      </c>
      <c r="BB18" s="7">
        <v>0</v>
      </c>
      <c r="BC18" s="5" t="s">
        <v>152</v>
      </c>
      <c r="BD18" s="5" t="s">
        <v>153</v>
      </c>
      <c r="BE18" s="5" t="s">
        <v>154</v>
      </c>
      <c r="BF18" s="5"/>
      <c r="BG18" s="5"/>
      <c r="BH18" s="5" t="s">
        <v>1944</v>
      </c>
      <c r="BI18" s="7">
        <v>0</v>
      </c>
      <c r="BJ18" s="7">
        <v>10000</v>
      </c>
      <c r="BK18" s="5" t="s">
        <v>1944</v>
      </c>
      <c r="BL18" s="5" t="s">
        <v>1944</v>
      </c>
      <c r="BM18" s="5"/>
      <c r="BN18" s="5" t="s">
        <v>1944</v>
      </c>
      <c r="BO18" s="5" t="s">
        <v>155</v>
      </c>
      <c r="BP18" s="7">
        <v>19</v>
      </c>
      <c r="BQ18" s="5" t="s">
        <v>153</v>
      </c>
      <c r="BR18" s="5" t="s">
        <v>156</v>
      </c>
      <c r="BS18" s="5"/>
      <c r="BT18" s="5" t="s">
        <v>2054</v>
      </c>
      <c r="BU18" s="5" t="s">
        <v>2055</v>
      </c>
      <c r="BV18" s="5" t="s">
        <v>2055</v>
      </c>
      <c r="BW18" s="5" t="s">
        <v>2055</v>
      </c>
      <c r="BX18" s="5" t="s">
        <v>239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1953</v>
      </c>
      <c r="CJ18" s="5" t="s">
        <v>1954</v>
      </c>
      <c r="CK18" s="5" t="s">
        <v>1955</v>
      </c>
      <c r="CL18" s="5" t="s">
        <v>213</v>
      </c>
      <c r="CM18" s="5"/>
      <c r="CN18" s="5"/>
      <c r="CO18" s="5"/>
      <c r="CP18" s="5" t="s">
        <v>2056</v>
      </c>
      <c r="CQ18" s="5" t="s">
        <v>2057</v>
      </c>
      <c r="CR18" s="5" t="s">
        <v>2058</v>
      </c>
      <c r="CS18" s="5" t="s">
        <v>1959</v>
      </c>
      <c r="CT18" s="5" t="s">
        <v>1960</v>
      </c>
      <c r="CU18" s="5" t="s">
        <v>1961</v>
      </c>
      <c r="CV18" s="5" t="s">
        <v>1962</v>
      </c>
    </row>
    <row r="19" spans="1:100" s="4" customFormat="1" ht="11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6"/>
      <c r="N19" s="5"/>
      <c r="O19" s="6"/>
      <c r="P19" s="6"/>
      <c r="Q19" s="7"/>
      <c r="R19" s="5"/>
      <c r="S19" s="7"/>
      <c r="T19" s="7"/>
      <c r="U19" s="7"/>
      <c r="V19" s="7"/>
      <c r="W19" s="7"/>
      <c r="X19" s="5"/>
      <c r="Y19" s="7"/>
      <c r="Z19" s="5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7"/>
      <c r="AO19" s="5"/>
      <c r="AP19" s="5"/>
      <c r="AQ19" s="5"/>
      <c r="AR19" s="5"/>
      <c r="AS19" s="5"/>
      <c r="AT19" s="5"/>
      <c r="AU19" s="7"/>
      <c r="AV19" s="5"/>
      <c r="AW19" s="7"/>
      <c r="AX19" s="7"/>
      <c r="AY19" s="5"/>
      <c r="AZ19" s="7"/>
      <c r="BA19" s="7"/>
      <c r="BB19" s="7"/>
      <c r="BC19" s="5"/>
      <c r="BD19" s="5"/>
      <c r="BE19" s="5"/>
      <c r="BF19" s="5"/>
      <c r="BG19" s="5"/>
      <c r="BH19" s="5"/>
      <c r="BI19" s="7"/>
      <c r="BJ19" s="7"/>
      <c r="BK19" s="5"/>
      <c r="BL19" s="5"/>
      <c r="BM19" s="5"/>
      <c r="BN19" s="5"/>
      <c r="BO19" s="5"/>
      <c r="BP19" s="7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spans="1:100" s="4" customFormat="1" ht="11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>
      <c r="Q22" s="14">
        <f>SUM(Q2:Q21)</f>
        <v>68</v>
      </c>
      <c r="R22" s="9"/>
      <c r="S22" s="14">
        <f>SUM(S2:S21)</f>
        <v>192512</v>
      </c>
      <c r="W22" s="11">
        <f>SUM(W2:W17)</f>
        <v>9158656</v>
      </c>
    </row>
    <row r="25" spans="1:100" s="4" customFormat="1" ht="11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K25" s="2" t="s">
        <v>31</v>
      </c>
      <c r="L25" s="1" t="s">
        <v>32</v>
      </c>
      <c r="M25" s="2" t="s">
        <v>33</v>
      </c>
      <c r="N25" s="1" t="s">
        <v>34</v>
      </c>
      <c r="O25" s="2" t="s">
        <v>35</v>
      </c>
      <c r="P25" s="2" t="s">
        <v>36</v>
      </c>
      <c r="Q25" s="3" t="s">
        <v>37</v>
      </c>
      <c r="R25" s="1" t="s">
        <v>38</v>
      </c>
      <c r="S25" s="3" t="s">
        <v>39</v>
      </c>
      <c r="T25" s="3" t="s">
        <v>40</v>
      </c>
      <c r="U25" s="3" t="s">
        <v>41</v>
      </c>
      <c r="V25" s="3" t="s">
        <v>42</v>
      </c>
      <c r="W25" s="3" t="s">
        <v>43</v>
      </c>
      <c r="X25" s="1" t="s">
        <v>44</v>
      </c>
      <c r="Y25" s="3" t="s">
        <v>45</v>
      </c>
      <c r="Z25" s="1" t="s">
        <v>46</v>
      </c>
      <c r="AA25" s="3" t="s">
        <v>47</v>
      </c>
      <c r="AB25" s="1" t="s">
        <v>48</v>
      </c>
      <c r="AC25" s="1" t="s">
        <v>49</v>
      </c>
      <c r="AD25" s="1" t="s">
        <v>50</v>
      </c>
      <c r="AE25" s="1" t="s">
        <v>51</v>
      </c>
      <c r="AF25" s="1" t="s">
        <v>52</v>
      </c>
      <c r="AG25" s="1" t="s">
        <v>53</v>
      </c>
      <c r="AH25" s="1" t="s">
        <v>54</v>
      </c>
      <c r="AI25" s="1" t="s">
        <v>55</v>
      </c>
      <c r="AJ25" s="1" t="s">
        <v>56</v>
      </c>
      <c r="AK25" s="1" t="s">
        <v>57</v>
      </c>
      <c r="AL25" s="1" t="s">
        <v>58</v>
      </c>
      <c r="AM25" s="3" t="s">
        <v>59</v>
      </c>
      <c r="AN25" s="3" t="s">
        <v>60</v>
      </c>
      <c r="AO25" s="1" t="s">
        <v>61</v>
      </c>
      <c r="AP25" s="1" t="s">
        <v>62</v>
      </c>
      <c r="AQ25" s="1" t="s">
        <v>63</v>
      </c>
      <c r="AR25" s="1" t="s">
        <v>64</v>
      </c>
      <c r="AS25" s="1" t="s">
        <v>65</v>
      </c>
      <c r="AT25" s="1" t="s">
        <v>66</v>
      </c>
      <c r="AU25" s="3" t="s">
        <v>67</v>
      </c>
      <c r="AV25" s="1" t="s">
        <v>68</v>
      </c>
      <c r="AW25" s="3" t="s">
        <v>69</v>
      </c>
      <c r="AX25" s="3" t="s">
        <v>70</v>
      </c>
      <c r="AY25" s="1" t="s">
        <v>71</v>
      </c>
      <c r="AZ25" s="3" t="s">
        <v>72</v>
      </c>
      <c r="BA25" s="3" t="s">
        <v>73</v>
      </c>
      <c r="BB25" s="3" t="s">
        <v>74</v>
      </c>
      <c r="BC25" s="1" t="s">
        <v>75</v>
      </c>
      <c r="BD25" s="1" t="s">
        <v>76</v>
      </c>
      <c r="BE25" s="1" t="s">
        <v>77</v>
      </c>
      <c r="BF25" s="1" t="s">
        <v>78</v>
      </c>
      <c r="BG25" s="1" t="s">
        <v>79</v>
      </c>
      <c r="BH25" s="1" t="s">
        <v>80</v>
      </c>
      <c r="BI25" s="3" t="s">
        <v>81</v>
      </c>
      <c r="BJ25" s="3" t="s">
        <v>82</v>
      </c>
      <c r="BK25" s="1" t="s">
        <v>83</v>
      </c>
      <c r="BL25" s="1" t="s">
        <v>84</v>
      </c>
      <c r="BM25" s="1" t="s">
        <v>85</v>
      </c>
      <c r="BN25" s="1" t="s">
        <v>86</v>
      </c>
      <c r="BO25" s="1" t="s">
        <v>87</v>
      </c>
      <c r="BP25" s="3" t="s">
        <v>88</v>
      </c>
      <c r="BQ25" s="1" t="s">
        <v>89</v>
      </c>
      <c r="BR25" s="1" t="s">
        <v>90</v>
      </c>
      <c r="BS25" s="1" t="s">
        <v>91</v>
      </c>
      <c r="BT25" s="1" t="s">
        <v>92</v>
      </c>
      <c r="BU25" s="1" t="s">
        <v>93</v>
      </c>
      <c r="BV25" s="1" t="s">
        <v>94</v>
      </c>
      <c r="BW25" s="1" t="s">
        <v>95</v>
      </c>
      <c r="BX25" s="1" t="s">
        <v>96</v>
      </c>
      <c r="BY25" s="1" t="s">
        <v>97</v>
      </c>
      <c r="BZ25" s="1" t="s">
        <v>98</v>
      </c>
      <c r="CA25" s="1" t="s">
        <v>99</v>
      </c>
      <c r="CB25" s="1" t="s">
        <v>100</v>
      </c>
      <c r="CC25" s="1" t="s">
        <v>101</v>
      </c>
      <c r="CD25" s="1" t="s">
        <v>102</v>
      </c>
      <c r="CE25" s="1" t="s">
        <v>103</v>
      </c>
      <c r="CF25" s="1" t="s">
        <v>104</v>
      </c>
      <c r="CG25" s="1" t="s">
        <v>105</v>
      </c>
      <c r="CH25" s="1" t="s">
        <v>106</v>
      </c>
      <c r="CI25" s="1" t="s">
        <v>107</v>
      </c>
      <c r="CJ25" s="1" t="s">
        <v>108</v>
      </c>
      <c r="CK25" s="1" t="s">
        <v>109</v>
      </c>
      <c r="CL25" s="1" t="s">
        <v>110</v>
      </c>
      <c r="CM25" s="1" t="s">
        <v>111</v>
      </c>
      <c r="CN25" s="1" t="s">
        <v>112</v>
      </c>
      <c r="CO25" s="1" t="s">
        <v>113</v>
      </c>
      <c r="CP25" s="1" t="s">
        <v>114</v>
      </c>
      <c r="CQ25" s="1" t="s">
        <v>115</v>
      </c>
      <c r="CR25" s="1" t="s">
        <v>116</v>
      </c>
      <c r="CS25" s="1" t="s">
        <v>117</v>
      </c>
      <c r="CT25" s="1" t="s">
        <v>118</v>
      </c>
      <c r="CU25" s="1" t="s">
        <v>119</v>
      </c>
    </row>
    <row r="26" spans="1:100" s="4" customFormat="1" ht="11.25">
      <c r="A26" s="35" t="s">
        <v>260</v>
      </c>
      <c r="B26" s="5" t="s">
        <v>135</v>
      </c>
      <c r="C26" s="5" t="s">
        <v>1944</v>
      </c>
      <c r="D26" s="5" t="s">
        <v>1944</v>
      </c>
      <c r="E26" s="5" t="s">
        <v>136</v>
      </c>
      <c r="F26" s="5" t="s">
        <v>261</v>
      </c>
      <c r="G26" s="5" t="s">
        <v>138</v>
      </c>
      <c r="H26" s="5" t="s">
        <v>139</v>
      </c>
      <c r="I26" s="5" t="s">
        <v>136</v>
      </c>
      <c r="J26" s="5" t="s">
        <v>1944</v>
      </c>
      <c r="K26" s="6">
        <v>45857.869976851798</v>
      </c>
      <c r="L26" s="5"/>
      <c r="M26" s="6"/>
      <c r="N26" s="5" t="s">
        <v>1945</v>
      </c>
      <c r="O26" s="6">
        <v>45373.4617476852</v>
      </c>
      <c r="P26" s="6">
        <v>45864.422789351898</v>
      </c>
      <c r="Q26" s="7">
        <v>4</v>
      </c>
      <c r="R26" s="5" t="s">
        <v>140</v>
      </c>
      <c r="S26" s="7">
        <v>16384</v>
      </c>
      <c r="T26" s="7">
        <v>1146</v>
      </c>
      <c r="U26" s="7">
        <v>3</v>
      </c>
      <c r="V26" s="7">
        <v>5</v>
      </c>
      <c r="W26" s="7">
        <v>8869888</v>
      </c>
      <c r="X26" s="5"/>
      <c r="Y26" s="7" t="s">
        <v>177</v>
      </c>
      <c r="Z26" s="5" t="s">
        <v>142</v>
      </c>
      <c r="AA26" s="7"/>
      <c r="AB26" s="5" t="s">
        <v>1946</v>
      </c>
      <c r="AC26" s="5" t="s">
        <v>1946</v>
      </c>
      <c r="AD26" s="5" t="s">
        <v>262</v>
      </c>
      <c r="AE26" s="5" t="s">
        <v>207</v>
      </c>
      <c r="AF26" s="5" t="s">
        <v>145</v>
      </c>
      <c r="AG26" s="5" t="s">
        <v>263</v>
      </c>
      <c r="AH26" s="5"/>
      <c r="AI26" s="5"/>
      <c r="AJ26" s="5"/>
      <c r="AK26" s="5"/>
      <c r="AL26" s="5"/>
      <c r="AM26" s="7">
        <v>1</v>
      </c>
      <c r="AN26" s="7">
        <v>8192</v>
      </c>
      <c r="AO26" s="5" t="s">
        <v>2059</v>
      </c>
      <c r="AP26" s="5" t="s">
        <v>192</v>
      </c>
      <c r="AQ26" s="5" t="s">
        <v>193</v>
      </c>
      <c r="AR26" s="5"/>
      <c r="AS26" s="5" t="s">
        <v>1950</v>
      </c>
      <c r="AT26" s="5" t="s">
        <v>150</v>
      </c>
      <c r="AU26" s="7"/>
      <c r="AV26" s="5" t="s">
        <v>151</v>
      </c>
      <c r="AW26" s="7">
        <v>-1</v>
      </c>
      <c r="AX26" s="7">
        <v>-1</v>
      </c>
      <c r="AY26" s="5"/>
      <c r="AZ26" s="7">
        <v>8886621</v>
      </c>
      <c r="BA26" s="7">
        <v>8886621</v>
      </c>
      <c r="BB26" s="7">
        <v>8869888</v>
      </c>
      <c r="BC26" s="5" t="s">
        <v>152</v>
      </c>
      <c r="BD26" s="5" t="s">
        <v>153</v>
      </c>
      <c r="BE26" s="5" t="s">
        <v>154</v>
      </c>
      <c r="BF26" s="5"/>
      <c r="BG26" s="5"/>
      <c r="BH26" s="5" t="s">
        <v>1944</v>
      </c>
      <c r="BI26" s="7">
        <v>0</v>
      </c>
      <c r="BJ26" s="7">
        <v>10000</v>
      </c>
      <c r="BK26" s="5" t="s">
        <v>1944</v>
      </c>
      <c r="BL26" s="5" t="s">
        <v>1944</v>
      </c>
      <c r="BM26" s="5"/>
      <c r="BN26" s="5" t="s">
        <v>1950</v>
      </c>
      <c r="BO26" s="5" t="s">
        <v>236</v>
      </c>
      <c r="BP26" s="7">
        <v>19</v>
      </c>
      <c r="BQ26" s="5" t="s">
        <v>153</v>
      </c>
      <c r="BR26" s="5" t="s">
        <v>156</v>
      </c>
      <c r="BS26" s="5"/>
      <c r="BT26" s="5" t="s">
        <v>264</v>
      </c>
      <c r="BU26" s="5" t="s">
        <v>265</v>
      </c>
      <c r="BV26" s="5" t="s">
        <v>265</v>
      </c>
      <c r="BW26" s="5" t="s">
        <v>265</v>
      </c>
      <c r="BX26" s="5" t="s">
        <v>239</v>
      </c>
      <c r="BY26" s="5" t="s">
        <v>2060</v>
      </c>
      <c r="BZ26" s="5" t="s">
        <v>2061</v>
      </c>
      <c r="CA26" s="5" t="s">
        <v>268</v>
      </c>
      <c r="CB26" s="5"/>
      <c r="CC26" s="5"/>
      <c r="CD26" s="5"/>
      <c r="CE26" s="5"/>
      <c r="CF26" s="5"/>
      <c r="CG26" s="5"/>
      <c r="CH26" s="5" t="s">
        <v>161</v>
      </c>
      <c r="CI26" s="5" t="s">
        <v>162</v>
      </c>
      <c r="CJ26" s="5" t="s">
        <v>198</v>
      </c>
      <c r="CK26" s="5" t="s">
        <v>213</v>
      </c>
      <c r="CL26" s="5" t="s">
        <v>213</v>
      </c>
      <c r="CM26" s="5" t="s">
        <v>166</v>
      </c>
      <c r="CN26" s="5"/>
      <c r="CO26" s="5" t="s">
        <v>268</v>
      </c>
      <c r="CP26" s="5" t="s">
        <v>270</v>
      </c>
      <c r="CQ26" s="5" t="s">
        <v>271</v>
      </c>
      <c r="CR26" s="5" t="s">
        <v>170</v>
      </c>
      <c r="CS26" s="5" t="s">
        <v>171</v>
      </c>
      <c r="CT26" s="5" t="s">
        <v>172</v>
      </c>
      <c r="CU26" s="5" t="s">
        <v>173</v>
      </c>
    </row>
    <row r="27" spans="1:100" s="4" customFormat="1" ht="11.25">
      <c r="A27" s="35" t="s">
        <v>811</v>
      </c>
      <c r="B27" s="5" t="s">
        <v>135</v>
      </c>
      <c r="C27" s="5" t="s">
        <v>1944</v>
      </c>
      <c r="D27" s="5" t="s">
        <v>1944</v>
      </c>
      <c r="E27" s="5" t="s">
        <v>136</v>
      </c>
      <c r="F27" s="5" t="s">
        <v>812</v>
      </c>
      <c r="G27" s="5" t="s">
        <v>138</v>
      </c>
      <c r="H27" s="5" t="s">
        <v>139</v>
      </c>
      <c r="I27" s="5" t="s">
        <v>136</v>
      </c>
      <c r="J27" s="5" t="s">
        <v>1944</v>
      </c>
      <c r="K27" s="6">
        <v>45857.871828703697</v>
      </c>
      <c r="L27" s="5"/>
      <c r="M27" s="6"/>
      <c r="N27" s="5" t="s">
        <v>1945</v>
      </c>
      <c r="O27" s="6">
        <v>25568.791666666701</v>
      </c>
      <c r="P27" s="6">
        <v>45870.258611111101</v>
      </c>
      <c r="Q27" s="7">
        <v>2</v>
      </c>
      <c r="R27" s="5" t="s">
        <v>140</v>
      </c>
      <c r="S27" s="7">
        <v>4096</v>
      </c>
      <c r="T27" s="7">
        <v>819</v>
      </c>
      <c r="U27" s="7">
        <v>3</v>
      </c>
      <c r="V27" s="7">
        <v>3</v>
      </c>
      <c r="W27" s="7">
        <v>215040</v>
      </c>
      <c r="X27" s="5"/>
      <c r="Y27" s="7" t="s">
        <v>813</v>
      </c>
      <c r="Z27" s="5" t="s">
        <v>142</v>
      </c>
      <c r="AA27" s="7"/>
      <c r="AB27" s="5" t="s">
        <v>1946</v>
      </c>
      <c r="AC27" s="5" t="s">
        <v>1946</v>
      </c>
      <c r="AD27" s="5" t="s">
        <v>814</v>
      </c>
      <c r="AE27" s="5" t="s">
        <v>815</v>
      </c>
      <c r="AF27" s="5" t="s">
        <v>816</v>
      </c>
      <c r="AG27" s="5" t="s">
        <v>817</v>
      </c>
      <c r="AH27" s="5"/>
      <c r="AI27" s="5"/>
      <c r="AJ27" s="5"/>
      <c r="AK27" s="5"/>
      <c r="AL27" s="5"/>
      <c r="AM27" s="7">
        <v>1</v>
      </c>
      <c r="AN27" s="7">
        <v>16384</v>
      </c>
      <c r="AO27" s="5" t="s">
        <v>818</v>
      </c>
      <c r="AP27" s="5" t="s">
        <v>317</v>
      </c>
      <c r="AQ27" s="5" t="s">
        <v>318</v>
      </c>
      <c r="AR27" s="5"/>
      <c r="AS27" s="5" t="s">
        <v>1950</v>
      </c>
      <c r="AT27" s="5" t="s">
        <v>150</v>
      </c>
      <c r="AU27" s="7"/>
      <c r="AV27" s="5" t="s">
        <v>151</v>
      </c>
      <c r="AW27" s="7">
        <v>-1</v>
      </c>
      <c r="AX27" s="7">
        <v>-1</v>
      </c>
      <c r="AY27" s="5"/>
      <c r="AZ27" s="7">
        <v>219225</v>
      </c>
      <c r="BA27" s="7">
        <v>219225</v>
      </c>
      <c r="BB27" s="7">
        <v>215040</v>
      </c>
      <c r="BC27" s="5" t="s">
        <v>152</v>
      </c>
      <c r="BD27" s="5" t="s">
        <v>153</v>
      </c>
      <c r="BE27" s="5" t="s">
        <v>154</v>
      </c>
      <c r="BF27" s="5"/>
      <c r="BG27" s="5"/>
      <c r="BH27" s="5" t="s">
        <v>1944</v>
      </c>
      <c r="BI27" s="7">
        <v>0</v>
      </c>
      <c r="BJ27" s="7">
        <v>10000</v>
      </c>
      <c r="BK27" s="5" t="s">
        <v>1944</v>
      </c>
      <c r="BL27" s="5" t="s">
        <v>1944</v>
      </c>
      <c r="BM27" s="5"/>
      <c r="BN27" s="5" t="s">
        <v>1944</v>
      </c>
      <c r="BO27" s="5" t="s">
        <v>155</v>
      </c>
      <c r="BP27" s="7">
        <v>15</v>
      </c>
      <c r="BQ27" s="5" t="s">
        <v>153</v>
      </c>
      <c r="BR27" s="5" t="s">
        <v>156</v>
      </c>
      <c r="BS27" s="5"/>
      <c r="BT27" s="5" t="s">
        <v>819</v>
      </c>
      <c r="BU27" s="5" t="s">
        <v>820</v>
      </c>
      <c r="BV27" s="5" t="s">
        <v>820</v>
      </c>
      <c r="BW27" s="5" t="s">
        <v>820</v>
      </c>
      <c r="BX27" s="5"/>
      <c r="BY27" s="5" t="s">
        <v>2062</v>
      </c>
      <c r="BZ27" s="5" t="s">
        <v>2063</v>
      </c>
      <c r="CA27" s="5" t="s">
        <v>823</v>
      </c>
      <c r="CB27" s="5"/>
      <c r="CC27" s="5"/>
      <c r="CD27" s="5"/>
      <c r="CE27" s="5"/>
      <c r="CF27" s="5"/>
      <c r="CG27" s="5"/>
      <c r="CH27" s="5" t="s">
        <v>161</v>
      </c>
      <c r="CI27" s="5" t="s">
        <v>824</v>
      </c>
      <c r="CJ27" s="5" t="s">
        <v>825</v>
      </c>
      <c r="CK27" s="5" t="s">
        <v>826</v>
      </c>
      <c r="CL27" s="5" t="s">
        <v>826</v>
      </c>
      <c r="CM27" s="5" t="s">
        <v>166</v>
      </c>
      <c r="CN27" s="5"/>
      <c r="CO27" s="5" t="s">
        <v>823</v>
      </c>
      <c r="CP27" s="5" t="s">
        <v>827</v>
      </c>
      <c r="CQ27" s="5" t="s">
        <v>828</v>
      </c>
      <c r="CR27" s="5" t="s">
        <v>170</v>
      </c>
      <c r="CS27" s="5" t="s">
        <v>171</v>
      </c>
      <c r="CT27" s="5" t="s">
        <v>172</v>
      </c>
      <c r="CU27" s="5" t="s">
        <v>173</v>
      </c>
    </row>
    <row r="28" spans="1:100" s="4" customFormat="1" ht="11.25">
      <c r="A28" s="35" t="s">
        <v>830</v>
      </c>
      <c r="B28" s="5" t="s">
        <v>135</v>
      </c>
      <c r="C28" s="5" t="s">
        <v>1944</v>
      </c>
      <c r="D28" s="5" t="s">
        <v>1944</v>
      </c>
      <c r="E28" s="5" t="s">
        <v>136</v>
      </c>
      <c r="F28" s="5" t="s">
        <v>831</v>
      </c>
      <c r="G28" s="5" t="s">
        <v>138</v>
      </c>
      <c r="H28" s="5" t="s">
        <v>139</v>
      </c>
      <c r="I28" s="5" t="s">
        <v>136</v>
      </c>
      <c r="J28" s="5" t="s">
        <v>1944</v>
      </c>
      <c r="K28" s="6">
        <v>45497.433564814797</v>
      </c>
      <c r="L28" s="5"/>
      <c r="M28" s="6"/>
      <c r="N28" s="5" t="s">
        <v>1945</v>
      </c>
      <c r="O28" s="6">
        <v>25568.791666666701</v>
      </c>
      <c r="P28" s="6">
        <v>45864.422812500001</v>
      </c>
      <c r="Q28" s="7">
        <v>4</v>
      </c>
      <c r="R28" s="5"/>
      <c r="S28" s="7">
        <v>4096</v>
      </c>
      <c r="T28" s="7">
        <v>327</v>
      </c>
      <c r="U28" s="7">
        <v>3</v>
      </c>
      <c r="V28" s="7">
        <v>2</v>
      </c>
      <c r="W28" s="7">
        <v>174080</v>
      </c>
      <c r="X28" s="5"/>
      <c r="Y28" s="7" t="s">
        <v>832</v>
      </c>
      <c r="Z28" s="5" t="s">
        <v>142</v>
      </c>
      <c r="AA28" s="7"/>
      <c r="AB28" s="5"/>
      <c r="AC28" s="5" t="s">
        <v>1946</v>
      </c>
      <c r="AD28" s="5" t="s">
        <v>833</v>
      </c>
      <c r="AE28" s="5" t="s">
        <v>834</v>
      </c>
      <c r="AF28" s="5" t="s">
        <v>835</v>
      </c>
      <c r="AG28" s="5" t="s">
        <v>836</v>
      </c>
      <c r="AH28" s="5"/>
      <c r="AI28" s="5"/>
      <c r="AJ28" s="5"/>
      <c r="AK28" s="5"/>
      <c r="AL28" s="5"/>
      <c r="AM28" s="7">
        <v>1</v>
      </c>
      <c r="AN28" s="7">
        <v>0</v>
      </c>
      <c r="AO28" s="5" t="s">
        <v>837</v>
      </c>
      <c r="AP28" s="5" t="s">
        <v>192</v>
      </c>
      <c r="AQ28" s="5" t="s">
        <v>193</v>
      </c>
      <c r="AR28" s="5"/>
      <c r="AS28" s="5" t="s">
        <v>1950</v>
      </c>
      <c r="AT28" s="5" t="s">
        <v>150</v>
      </c>
      <c r="AU28" s="7"/>
      <c r="AV28" s="5" t="s">
        <v>151</v>
      </c>
      <c r="AW28" s="7">
        <v>-1</v>
      </c>
      <c r="AX28" s="7">
        <v>-1</v>
      </c>
      <c r="AY28" s="5"/>
      <c r="AZ28" s="7">
        <v>178354</v>
      </c>
      <c r="BA28" s="7">
        <v>178354</v>
      </c>
      <c r="BB28" s="7">
        <v>174080</v>
      </c>
      <c r="BC28" s="5" t="s">
        <v>152</v>
      </c>
      <c r="BD28" s="5" t="s">
        <v>153</v>
      </c>
      <c r="BE28" s="5" t="s">
        <v>154</v>
      </c>
      <c r="BF28" s="5"/>
      <c r="BG28" s="5"/>
      <c r="BH28" s="5" t="s">
        <v>1944</v>
      </c>
      <c r="BI28" s="7">
        <v>0</v>
      </c>
      <c r="BJ28" s="7">
        <v>10000</v>
      </c>
      <c r="BK28" s="5" t="s">
        <v>1944</v>
      </c>
      <c r="BL28" s="5" t="s">
        <v>1944</v>
      </c>
      <c r="BM28" s="5"/>
      <c r="BN28" s="5" t="s">
        <v>1944</v>
      </c>
      <c r="BO28" s="5" t="s">
        <v>155</v>
      </c>
      <c r="BP28" s="7">
        <v>13</v>
      </c>
      <c r="BQ28" s="5" t="s">
        <v>153</v>
      </c>
      <c r="BR28" s="5" t="s">
        <v>156</v>
      </c>
      <c r="BS28" s="5"/>
      <c r="BT28" s="5" t="s">
        <v>838</v>
      </c>
      <c r="BU28" s="5" t="s">
        <v>839</v>
      </c>
      <c r="BV28" s="5" t="s">
        <v>839</v>
      </c>
      <c r="BW28" s="5" t="s">
        <v>839</v>
      </c>
      <c r="BX28" s="5" t="s">
        <v>840</v>
      </c>
      <c r="BY28" s="5" t="s">
        <v>2064</v>
      </c>
      <c r="BZ28" s="5" t="s">
        <v>2065</v>
      </c>
      <c r="CA28" s="5" t="s">
        <v>843</v>
      </c>
      <c r="CB28" s="5"/>
      <c r="CC28" s="5"/>
      <c r="CD28" s="5"/>
      <c r="CE28" s="5"/>
      <c r="CF28" s="5"/>
      <c r="CG28" s="5"/>
      <c r="CH28" s="5" t="s">
        <v>161</v>
      </c>
      <c r="CI28" s="5" t="s">
        <v>844</v>
      </c>
      <c r="CJ28" s="5" t="s">
        <v>845</v>
      </c>
      <c r="CK28" s="5" t="s">
        <v>846</v>
      </c>
      <c r="CL28" s="5" t="s">
        <v>846</v>
      </c>
      <c r="CM28" s="5"/>
      <c r="CN28" s="5"/>
      <c r="CO28" s="5" t="s">
        <v>843</v>
      </c>
      <c r="CP28" s="5" t="s">
        <v>847</v>
      </c>
      <c r="CQ28" s="5" t="s">
        <v>848</v>
      </c>
      <c r="CR28" s="5" t="s">
        <v>170</v>
      </c>
      <c r="CS28" s="5" t="s">
        <v>171</v>
      </c>
      <c r="CT28" s="5" t="s">
        <v>172</v>
      </c>
      <c r="CU28" s="5" t="s">
        <v>173</v>
      </c>
    </row>
    <row r="29" spans="1:100" s="4" customFormat="1" ht="11.25">
      <c r="A29" s="35" t="s">
        <v>902</v>
      </c>
      <c r="B29" s="5" t="s">
        <v>135</v>
      </c>
      <c r="C29" s="5" t="s">
        <v>1944</v>
      </c>
      <c r="D29" s="5" t="s">
        <v>1944</v>
      </c>
      <c r="E29" s="5" t="s">
        <v>136</v>
      </c>
      <c r="F29" s="5" t="s">
        <v>903</v>
      </c>
      <c r="G29" s="5" t="s">
        <v>138</v>
      </c>
      <c r="H29" s="5" t="s">
        <v>139</v>
      </c>
      <c r="I29" s="5" t="s">
        <v>136</v>
      </c>
      <c r="J29" s="5" t="s">
        <v>1944</v>
      </c>
      <c r="K29" s="6">
        <v>45563.473796296297</v>
      </c>
      <c r="L29" s="5"/>
      <c r="M29" s="6"/>
      <c r="N29" s="5" t="s">
        <v>1945</v>
      </c>
      <c r="O29" s="6">
        <v>25568.791666666701</v>
      </c>
      <c r="P29" s="6">
        <v>45865.731689814798</v>
      </c>
      <c r="Q29" s="7">
        <v>2</v>
      </c>
      <c r="R29" s="5" t="s">
        <v>140</v>
      </c>
      <c r="S29" s="7">
        <v>8192</v>
      </c>
      <c r="T29" s="7">
        <v>1064</v>
      </c>
      <c r="U29" s="7">
        <v>3</v>
      </c>
      <c r="V29" s="7">
        <v>4</v>
      </c>
      <c r="W29" s="7">
        <v>757760</v>
      </c>
      <c r="X29" s="5"/>
      <c r="Y29" s="7" t="s">
        <v>813</v>
      </c>
      <c r="Z29" s="5" t="s">
        <v>142</v>
      </c>
      <c r="AA29" s="7"/>
      <c r="AB29" s="5" t="s">
        <v>1946</v>
      </c>
      <c r="AC29" s="5" t="s">
        <v>1946</v>
      </c>
      <c r="AD29" s="5" t="s">
        <v>904</v>
      </c>
      <c r="AE29" s="5" t="s">
        <v>815</v>
      </c>
      <c r="AF29" s="5" t="s">
        <v>905</v>
      </c>
      <c r="AG29" s="5" t="s">
        <v>852</v>
      </c>
      <c r="AH29" s="5"/>
      <c r="AI29" s="5"/>
      <c r="AJ29" s="5"/>
      <c r="AK29" s="5"/>
      <c r="AL29" s="5"/>
      <c r="AM29" s="7">
        <v>1</v>
      </c>
      <c r="AN29" s="7">
        <v>16384</v>
      </c>
      <c r="AO29" s="5" t="s">
        <v>818</v>
      </c>
      <c r="AP29" s="5" t="s">
        <v>317</v>
      </c>
      <c r="AQ29" s="5" t="s">
        <v>318</v>
      </c>
      <c r="AR29" s="5"/>
      <c r="AS29" s="5" t="s">
        <v>1950</v>
      </c>
      <c r="AT29" s="5" t="s">
        <v>150</v>
      </c>
      <c r="AU29" s="7"/>
      <c r="AV29" s="5" t="s">
        <v>151</v>
      </c>
      <c r="AW29" s="7">
        <v>-1</v>
      </c>
      <c r="AX29" s="7">
        <v>-1</v>
      </c>
      <c r="AY29" s="5"/>
      <c r="AZ29" s="7">
        <v>766114</v>
      </c>
      <c r="BA29" s="7">
        <v>766114</v>
      </c>
      <c r="BB29" s="7">
        <v>757760</v>
      </c>
      <c r="BC29" s="5" t="s">
        <v>152</v>
      </c>
      <c r="BD29" s="5" t="s">
        <v>153</v>
      </c>
      <c r="BE29" s="5" t="s">
        <v>154</v>
      </c>
      <c r="BF29" s="5"/>
      <c r="BG29" s="5"/>
      <c r="BH29" s="5" t="s">
        <v>1944</v>
      </c>
      <c r="BI29" s="7">
        <v>0</v>
      </c>
      <c r="BJ29" s="7">
        <v>10000</v>
      </c>
      <c r="BK29" s="5" t="s">
        <v>1944</v>
      </c>
      <c r="BL29" s="5" t="s">
        <v>1944</v>
      </c>
      <c r="BM29" s="5"/>
      <c r="BN29" s="5" t="s">
        <v>1944</v>
      </c>
      <c r="BO29" s="5" t="s">
        <v>155</v>
      </c>
      <c r="BP29" s="7">
        <v>13</v>
      </c>
      <c r="BQ29" s="5" t="s">
        <v>153</v>
      </c>
      <c r="BR29" s="5" t="s">
        <v>156</v>
      </c>
      <c r="BS29" s="5"/>
      <c r="BT29" s="5" t="s">
        <v>906</v>
      </c>
      <c r="BU29" s="5" t="s">
        <v>907</v>
      </c>
      <c r="BV29" s="5" t="s">
        <v>907</v>
      </c>
      <c r="BW29" s="5" t="s">
        <v>907</v>
      </c>
      <c r="BX29" s="5" t="s">
        <v>908</v>
      </c>
      <c r="BY29" s="5" t="s">
        <v>2066</v>
      </c>
      <c r="BZ29" s="5" t="s">
        <v>2067</v>
      </c>
      <c r="CA29" s="5" t="s">
        <v>911</v>
      </c>
      <c r="CB29" s="5"/>
      <c r="CC29" s="5"/>
      <c r="CD29" s="5"/>
      <c r="CE29" s="5"/>
      <c r="CF29" s="5"/>
      <c r="CG29" s="5"/>
      <c r="CH29" s="5" t="s">
        <v>161</v>
      </c>
      <c r="CI29" s="5" t="s">
        <v>824</v>
      </c>
      <c r="CJ29" s="5" t="s">
        <v>912</v>
      </c>
      <c r="CK29" s="5" t="s">
        <v>826</v>
      </c>
      <c r="CL29" s="5" t="s">
        <v>826</v>
      </c>
      <c r="CM29" s="5" t="s">
        <v>166</v>
      </c>
      <c r="CN29" s="5"/>
      <c r="CO29" s="5" t="s">
        <v>911</v>
      </c>
      <c r="CP29" s="5" t="s">
        <v>913</v>
      </c>
      <c r="CQ29" s="5" t="s">
        <v>914</v>
      </c>
      <c r="CR29" s="5" t="s">
        <v>170</v>
      </c>
      <c r="CS29" s="5" t="s">
        <v>171</v>
      </c>
      <c r="CT29" s="5" t="s">
        <v>172</v>
      </c>
      <c r="CU29" s="5" t="s">
        <v>173</v>
      </c>
    </row>
    <row r="30" spans="1:100" s="4" customFormat="1" ht="11.25">
      <c r="A30" s="35" t="s">
        <v>916</v>
      </c>
      <c r="B30" s="5" t="s">
        <v>135</v>
      </c>
      <c r="C30" s="5" t="s">
        <v>1944</v>
      </c>
      <c r="D30" s="5" t="s">
        <v>1944</v>
      </c>
      <c r="E30" s="5" t="s">
        <v>136</v>
      </c>
      <c r="F30" s="5" t="s">
        <v>917</v>
      </c>
      <c r="G30" s="5" t="s">
        <v>138</v>
      </c>
      <c r="H30" s="5" t="s">
        <v>139</v>
      </c>
      <c r="I30" s="5" t="s">
        <v>136</v>
      </c>
      <c r="J30" s="5" t="s">
        <v>1944</v>
      </c>
      <c r="K30" s="6">
        <v>45641.429293981499</v>
      </c>
      <c r="L30" s="5"/>
      <c r="M30" s="6"/>
      <c r="N30" s="5" t="s">
        <v>1945</v>
      </c>
      <c r="O30" s="6">
        <v>25568.791666666701</v>
      </c>
      <c r="P30" s="6">
        <v>45864.422824074099</v>
      </c>
      <c r="Q30" s="7">
        <v>8</v>
      </c>
      <c r="R30" s="5"/>
      <c r="S30" s="7">
        <v>4096</v>
      </c>
      <c r="T30" s="7">
        <v>450</v>
      </c>
      <c r="U30" s="7">
        <v>3</v>
      </c>
      <c r="V30" s="7">
        <v>2</v>
      </c>
      <c r="W30" s="7">
        <v>194560</v>
      </c>
      <c r="X30" s="5"/>
      <c r="Y30" s="7" t="s">
        <v>832</v>
      </c>
      <c r="Z30" s="5" t="s">
        <v>142</v>
      </c>
      <c r="AA30" s="7"/>
      <c r="AB30" s="5"/>
      <c r="AC30" s="5" t="s">
        <v>1946</v>
      </c>
      <c r="AD30" s="5" t="s">
        <v>918</v>
      </c>
      <c r="AE30" s="5" t="s">
        <v>834</v>
      </c>
      <c r="AF30" s="5" t="s">
        <v>835</v>
      </c>
      <c r="AG30" s="5" t="s">
        <v>836</v>
      </c>
      <c r="AH30" s="5"/>
      <c r="AI30" s="5"/>
      <c r="AJ30" s="5"/>
      <c r="AK30" s="5"/>
      <c r="AL30" s="5"/>
      <c r="AM30" s="7">
        <v>1</v>
      </c>
      <c r="AN30" s="7">
        <v>4096</v>
      </c>
      <c r="AO30" s="5" t="s">
        <v>837</v>
      </c>
      <c r="AP30" s="5" t="s">
        <v>317</v>
      </c>
      <c r="AQ30" s="5" t="s">
        <v>318</v>
      </c>
      <c r="AR30" s="5"/>
      <c r="AS30" s="5" t="s">
        <v>1950</v>
      </c>
      <c r="AT30" s="5" t="s">
        <v>150</v>
      </c>
      <c r="AU30" s="7"/>
      <c r="AV30" s="5" t="s">
        <v>151</v>
      </c>
      <c r="AW30" s="7">
        <v>-1</v>
      </c>
      <c r="AX30" s="7">
        <v>-1</v>
      </c>
      <c r="AY30" s="5"/>
      <c r="AZ30" s="7">
        <v>198852</v>
      </c>
      <c r="BA30" s="7">
        <v>198852</v>
      </c>
      <c r="BB30" s="7">
        <v>194560</v>
      </c>
      <c r="BC30" s="5" t="s">
        <v>152</v>
      </c>
      <c r="BD30" s="5" t="s">
        <v>153</v>
      </c>
      <c r="BE30" s="5" t="s">
        <v>154</v>
      </c>
      <c r="BF30" s="5"/>
      <c r="BG30" s="5"/>
      <c r="BH30" s="5" t="s">
        <v>1944</v>
      </c>
      <c r="BI30" s="7">
        <v>0</v>
      </c>
      <c r="BJ30" s="7">
        <v>10000</v>
      </c>
      <c r="BK30" s="5" t="s">
        <v>1944</v>
      </c>
      <c r="BL30" s="5" t="s">
        <v>1944</v>
      </c>
      <c r="BM30" s="5"/>
      <c r="BN30" s="5" t="s">
        <v>1944</v>
      </c>
      <c r="BO30" s="5" t="s">
        <v>155</v>
      </c>
      <c r="BP30" s="7">
        <v>13</v>
      </c>
      <c r="BQ30" s="5" t="s">
        <v>153</v>
      </c>
      <c r="BR30" s="5" t="s">
        <v>156</v>
      </c>
      <c r="BS30" s="5"/>
      <c r="BT30" s="5" t="s">
        <v>919</v>
      </c>
      <c r="BU30" s="5" t="s">
        <v>920</v>
      </c>
      <c r="BV30" s="5" t="s">
        <v>920</v>
      </c>
      <c r="BW30" s="5" t="s">
        <v>920</v>
      </c>
      <c r="BX30" s="5"/>
      <c r="BY30" s="5" t="s">
        <v>2068</v>
      </c>
      <c r="BZ30" s="5" t="s">
        <v>2069</v>
      </c>
      <c r="CA30" s="5" t="s">
        <v>923</v>
      </c>
      <c r="CB30" s="5"/>
      <c r="CC30" s="5"/>
      <c r="CD30" s="5"/>
      <c r="CE30" s="5"/>
      <c r="CF30" s="5"/>
      <c r="CG30" s="5"/>
      <c r="CH30" s="5" t="s">
        <v>161</v>
      </c>
      <c r="CI30" s="5" t="s">
        <v>844</v>
      </c>
      <c r="CJ30" s="5" t="s">
        <v>881</v>
      </c>
      <c r="CK30" s="5" t="s">
        <v>846</v>
      </c>
      <c r="CL30" s="5" t="s">
        <v>846</v>
      </c>
      <c r="CM30" s="5"/>
      <c r="CN30" s="5"/>
      <c r="CO30" s="5" t="s">
        <v>923</v>
      </c>
      <c r="CP30" s="5" t="s">
        <v>924</v>
      </c>
      <c r="CQ30" s="5" t="s">
        <v>925</v>
      </c>
      <c r="CR30" s="5" t="s">
        <v>170</v>
      </c>
      <c r="CS30" s="5" t="s">
        <v>171</v>
      </c>
      <c r="CT30" s="5" t="s">
        <v>172</v>
      </c>
      <c r="CU30" s="5" t="s">
        <v>173</v>
      </c>
    </row>
    <row r="31" spans="1:100" s="4" customFormat="1" ht="11.25">
      <c r="A31" s="35" t="s">
        <v>952</v>
      </c>
      <c r="B31" s="5" t="s">
        <v>135</v>
      </c>
      <c r="C31" s="5" t="s">
        <v>1944</v>
      </c>
      <c r="D31" s="5" t="s">
        <v>1944</v>
      </c>
      <c r="E31" s="5" t="s">
        <v>136</v>
      </c>
      <c r="F31" s="5" t="s">
        <v>953</v>
      </c>
      <c r="G31" s="5" t="s">
        <v>138</v>
      </c>
      <c r="H31" s="5" t="s">
        <v>139</v>
      </c>
      <c r="I31" s="5" t="s">
        <v>136</v>
      </c>
      <c r="J31" s="5" t="s">
        <v>1944</v>
      </c>
      <c r="K31" s="6">
        <v>45622.476006944402</v>
      </c>
      <c r="L31" s="5"/>
      <c r="M31" s="6"/>
      <c r="N31" s="5" t="s">
        <v>1945</v>
      </c>
      <c r="O31" s="6">
        <v>25568.791666666701</v>
      </c>
      <c r="P31" s="6">
        <v>45864.422824074099</v>
      </c>
      <c r="Q31" s="7">
        <v>4</v>
      </c>
      <c r="R31" s="5"/>
      <c r="S31" s="7">
        <v>4096</v>
      </c>
      <c r="T31" s="7">
        <v>573</v>
      </c>
      <c r="U31" s="7">
        <v>3</v>
      </c>
      <c r="V31" s="7">
        <v>2</v>
      </c>
      <c r="W31" s="7">
        <v>133120</v>
      </c>
      <c r="X31" s="5"/>
      <c r="Y31" s="7" t="s">
        <v>832</v>
      </c>
      <c r="Z31" s="5" t="s">
        <v>142</v>
      </c>
      <c r="AA31" s="7"/>
      <c r="AB31" s="5"/>
      <c r="AC31" s="5" t="s">
        <v>1946</v>
      </c>
      <c r="AD31" s="5" t="s">
        <v>954</v>
      </c>
      <c r="AE31" s="5" t="s">
        <v>834</v>
      </c>
      <c r="AF31" s="5" t="s">
        <v>835</v>
      </c>
      <c r="AG31" s="5" t="s">
        <v>836</v>
      </c>
      <c r="AH31" s="5"/>
      <c r="AI31" s="5"/>
      <c r="AJ31" s="5"/>
      <c r="AK31" s="5"/>
      <c r="AL31" s="5"/>
      <c r="AM31" s="7">
        <v>1</v>
      </c>
      <c r="AN31" s="7">
        <v>0</v>
      </c>
      <c r="AO31" s="5" t="s">
        <v>837</v>
      </c>
      <c r="AP31" s="5" t="s">
        <v>317</v>
      </c>
      <c r="AQ31" s="5" t="s">
        <v>318</v>
      </c>
      <c r="AR31" s="5"/>
      <c r="AS31" s="5" t="s">
        <v>1950</v>
      </c>
      <c r="AT31" s="5" t="s">
        <v>150</v>
      </c>
      <c r="AU31" s="7"/>
      <c r="AV31" s="5" t="s">
        <v>151</v>
      </c>
      <c r="AW31" s="7">
        <v>-1</v>
      </c>
      <c r="AX31" s="7">
        <v>-1</v>
      </c>
      <c r="AY31" s="5"/>
      <c r="AZ31" s="7">
        <v>137399</v>
      </c>
      <c r="BA31" s="7">
        <v>137399</v>
      </c>
      <c r="BB31" s="7">
        <v>133120</v>
      </c>
      <c r="BC31" s="5" t="s">
        <v>152</v>
      </c>
      <c r="BD31" s="5" t="s">
        <v>153</v>
      </c>
      <c r="BE31" s="5" t="s">
        <v>154</v>
      </c>
      <c r="BF31" s="5"/>
      <c r="BG31" s="5"/>
      <c r="BH31" s="5" t="s">
        <v>1944</v>
      </c>
      <c r="BI31" s="7">
        <v>0</v>
      </c>
      <c r="BJ31" s="7">
        <v>10000</v>
      </c>
      <c r="BK31" s="5" t="s">
        <v>1944</v>
      </c>
      <c r="BL31" s="5" t="s">
        <v>1944</v>
      </c>
      <c r="BM31" s="5"/>
      <c r="BN31" s="5" t="s">
        <v>1944</v>
      </c>
      <c r="BO31" s="5" t="s">
        <v>155</v>
      </c>
      <c r="BP31" s="7">
        <v>13</v>
      </c>
      <c r="BQ31" s="5" t="s">
        <v>153</v>
      </c>
      <c r="BR31" s="5" t="s">
        <v>156</v>
      </c>
      <c r="BS31" s="5"/>
      <c r="BT31" s="5" t="s">
        <v>955</v>
      </c>
      <c r="BU31" s="5" t="s">
        <v>956</v>
      </c>
      <c r="BV31" s="5" t="s">
        <v>956</v>
      </c>
      <c r="BW31" s="5" t="s">
        <v>956</v>
      </c>
      <c r="BX31" s="5"/>
      <c r="BY31" s="5" t="s">
        <v>2070</v>
      </c>
      <c r="BZ31" s="5" t="s">
        <v>2071</v>
      </c>
      <c r="CA31" s="5" t="s">
        <v>959</v>
      </c>
      <c r="CB31" s="5"/>
      <c r="CC31" s="5"/>
      <c r="CD31" s="5"/>
      <c r="CE31" s="5"/>
      <c r="CF31" s="5"/>
      <c r="CG31" s="5"/>
      <c r="CH31" s="5" t="s">
        <v>161</v>
      </c>
      <c r="CI31" s="5" t="s">
        <v>844</v>
      </c>
      <c r="CJ31" s="5" t="s">
        <v>845</v>
      </c>
      <c r="CK31" s="5" t="s">
        <v>846</v>
      </c>
      <c r="CL31" s="5" t="s">
        <v>846</v>
      </c>
      <c r="CM31" s="5"/>
      <c r="CN31" s="5"/>
      <c r="CO31" s="5" t="s">
        <v>959</v>
      </c>
      <c r="CP31" s="5" t="s">
        <v>960</v>
      </c>
      <c r="CQ31" s="5" t="s">
        <v>961</v>
      </c>
      <c r="CR31" s="5" t="s">
        <v>170</v>
      </c>
      <c r="CS31" s="5" t="s">
        <v>171</v>
      </c>
      <c r="CT31" s="5" t="s">
        <v>172</v>
      </c>
      <c r="CU31" s="5" t="s">
        <v>173</v>
      </c>
    </row>
    <row r="32" spans="1:100" s="4" customFormat="1" ht="11.25">
      <c r="A32" s="35" t="s">
        <v>1081</v>
      </c>
      <c r="B32" s="5" t="s">
        <v>135</v>
      </c>
      <c r="C32" s="5" t="s">
        <v>1944</v>
      </c>
      <c r="D32" s="5" t="s">
        <v>1944</v>
      </c>
      <c r="E32" s="5" t="s">
        <v>136</v>
      </c>
      <c r="F32" s="5" t="s">
        <v>1082</v>
      </c>
      <c r="G32" s="5" t="s">
        <v>138</v>
      </c>
      <c r="H32" s="5" t="s">
        <v>139</v>
      </c>
      <c r="I32" s="5" t="s">
        <v>136</v>
      </c>
      <c r="J32" s="5" t="s">
        <v>1944</v>
      </c>
      <c r="K32" s="6">
        <v>45773.996354166702</v>
      </c>
      <c r="L32" s="5"/>
      <c r="M32" s="6"/>
      <c r="N32" s="5" t="s">
        <v>1945</v>
      </c>
      <c r="O32" s="6">
        <v>25568.791666666701</v>
      </c>
      <c r="P32" s="6">
        <v>45864.422789351898</v>
      </c>
      <c r="Q32" s="7">
        <v>4</v>
      </c>
      <c r="R32" s="5"/>
      <c r="S32" s="7">
        <v>12288</v>
      </c>
      <c r="T32" s="7">
        <v>614</v>
      </c>
      <c r="U32" s="7">
        <v>3</v>
      </c>
      <c r="V32" s="7">
        <v>2</v>
      </c>
      <c r="W32" s="7">
        <v>112640</v>
      </c>
      <c r="X32" s="5"/>
      <c r="Y32" s="7" t="s">
        <v>832</v>
      </c>
      <c r="Z32" s="5" t="s">
        <v>142</v>
      </c>
      <c r="AA32" s="7"/>
      <c r="AB32" s="5" t="s">
        <v>1946</v>
      </c>
      <c r="AC32" s="5" t="s">
        <v>1946</v>
      </c>
      <c r="AD32" s="5" t="s">
        <v>1083</v>
      </c>
      <c r="AE32" s="5" t="s">
        <v>835</v>
      </c>
      <c r="AF32" s="5" t="s">
        <v>1084</v>
      </c>
      <c r="AG32" s="5" t="s">
        <v>836</v>
      </c>
      <c r="AH32" s="5"/>
      <c r="AI32" s="5"/>
      <c r="AJ32" s="5"/>
      <c r="AK32" s="5"/>
      <c r="AL32" s="5"/>
      <c r="AM32" s="7">
        <v>1</v>
      </c>
      <c r="AN32" s="7">
        <v>0</v>
      </c>
      <c r="AO32" s="5" t="s">
        <v>837</v>
      </c>
      <c r="AP32" s="5" t="s">
        <v>317</v>
      </c>
      <c r="AQ32" s="5" t="s">
        <v>318</v>
      </c>
      <c r="AR32" s="5"/>
      <c r="AS32" s="5" t="s">
        <v>1950</v>
      </c>
      <c r="AT32" s="5" t="s">
        <v>150</v>
      </c>
      <c r="AU32" s="7"/>
      <c r="AV32" s="5" t="s">
        <v>151</v>
      </c>
      <c r="AW32" s="7">
        <v>-1</v>
      </c>
      <c r="AX32" s="7">
        <v>-1</v>
      </c>
      <c r="AY32" s="5"/>
      <c r="AZ32" s="7">
        <v>125152</v>
      </c>
      <c r="BA32" s="7">
        <v>125152</v>
      </c>
      <c r="BB32" s="7">
        <v>112640</v>
      </c>
      <c r="BC32" s="5" t="s">
        <v>152</v>
      </c>
      <c r="BD32" s="5" t="s">
        <v>153</v>
      </c>
      <c r="BE32" s="5" t="s">
        <v>154</v>
      </c>
      <c r="BF32" s="5"/>
      <c r="BG32" s="5"/>
      <c r="BH32" s="5" t="s">
        <v>1944</v>
      </c>
      <c r="BI32" s="7">
        <v>0</v>
      </c>
      <c r="BJ32" s="7">
        <v>10000</v>
      </c>
      <c r="BK32" s="5" t="s">
        <v>1944</v>
      </c>
      <c r="BL32" s="5" t="s">
        <v>1944</v>
      </c>
      <c r="BM32" s="5"/>
      <c r="BN32" s="5" t="s">
        <v>1944</v>
      </c>
      <c r="BO32" s="5" t="s">
        <v>155</v>
      </c>
      <c r="BP32" s="7">
        <v>13</v>
      </c>
      <c r="BQ32" s="5" t="s">
        <v>153</v>
      </c>
      <c r="BR32" s="5" t="s">
        <v>156</v>
      </c>
      <c r="BS32" s="5"/>
      <c r="BT32" s="5" t="s">
        <v>1085</v>
      </c>
      <c r="BU32" s="5" t="s">
        <v>1086</v>
      </c>
      <c r="BV32" s="5" t="s">
        <v>1086</v>
      </c>
      <c r="BW32" s="5" t="s">
        <v>1086</v>
      </c>
      <c r="BX32" s="5"/>
      <c r="BY32" s="5" t="s">
        <v>2072</v>
      </c>
      <c r="BZ32" s="5" t="s">
        <v>2073</v>
      </c>
      <c r="CA32" s="5" t="s">
        <v>1089</v>
      </c>
      <c r="CB32" s="5"/>
      <c r="CC32" s="5"/>
      <c r="CD32" s="5"/>
      <c r="CE32" s="5"/>
      <c r="CF32" s="5"/>
      <c r="CG32" s="5"/>
      <c r="CH32" s="5" t="s">
        <v>161</v>
      </c>
      <c r="CI32" s="5" t="s">
        <v>844</v>
      </c>
      <c r="CJ32" s="5" t="s">
        <v>896</v>
      </c>
      <c r="CK32" s="5" t="s">
        <v>826</v>
      </c>
      <c r="CL32" s="5" t="s">
        <v>826</v>
      </c>
      <c r="CM32" s="5"/>
      <c r="CN32" s="5"/>
      <c r="CO32" s="5" t="s">
        <v>1089</v>
      </c>
      <c r="CP32" s="5" t="s">
        <v>1090</v>
      </c>
      <c r="CQ32" s="5" t="s">
        <v>1091</v>
      </c>
      <c r="CR32" s="5" t="s">
        <v>170</v>
      </c>
      <c r="CS32" s="5" t="s">
        <v>171</v>
      </c>
      <c r="CT32" s="5" t="s">
        <v>172</v>
      </c>
      <c r="CU32" s="5" t="s">
        <v>173</v>
      </c>
    </row>
    <row r="33" spans="1:99" s="4" customFormat="1" ht="11.25">
      <c r="A33" s="35" t="s">
        <v>1105</v>
      </c>
      <c r="B33" s="5" t="s">
        <v>135</v>
      </c>
      <c r="C33" s="5" t="s">
        <v>1944</v>
      </c>
      <c r="D33" s="5" t="s">
        <v>1944</v>
      </c>
      <c r="E33" s="5" t="s">
        <v>136</v>
      </c>
      <c r="F33" s="5" t="s">
        <v>1106</v>
      </c>
      <c r="G33" s="5" t="s">
        <v>138</v>
      </c>
      <c r="H33" s="5" t="s">
        <v>139</v>
      </c>
      <c r="I33" s="5" t="s">
        <v>151</v>
      </c>
      <c r="J33" s="5" t="s">
        <v>1944</v>
      </c>
      <c r="K33" s="6">
        <v>45773.994293981501</v>
      </c>
      <c r="L33" s="5"/>
      <c r="M33" s="6"/>
      <c r="N33" s="5" t="s">
        <v>1945</v>
      </c>
      <c r="O33" s="6">
        <v>25568.791666666701</v>
      </c>
      <c r="P33" s="6">
        <v>45870.265659722201</v>
      </c>
      <c r="Q33" s="7">
        <v>4</v>
      </c>
      <c r="R33" s="5" t="s">
        <v>140</v>
      </c>
      <c r="S33" s="7">
        <v>2048</v>
      </c>
      <c r="T33" s="7">
        <v>634</v>
      </c>
      <c r="U33" s="7">
        <v>3</v>
      </c>
      <c r="V33" s="7">
        <v>1</v>
      </c>
      <c r="W33" s="7">
        <v>20480</v>
      </c>
      <c r="X33" s="5"/>
      <c r="Y33" s="7" t="s">
        <v>813</v>
      </c>
      <c r="Z33" s="5" t="s">
        <v>142</v>
      </c>
      <c r="AA33" s="7"/>
      <c r="AB33" s="5"/>
      <c r="AC33" s="5" t="s">
        <v>1946</v>
      </c>
      <c r="AD33" s="5" t="s">
        <v>1107</v>
      </c>
      <c r="AE33" s="5" t="s">
        <v>1108</v>
      </c>
      <c r="AF33" s="5" t="s">
        <v>816</v>
      </c>
      <c r="AG33" s="5" t="s">
        <v>817</v>
      </c>
      <c r="AH33" s="5"/>
      <c r="AI33" s="5"/>
      <c r="AJ33" s="5"/>
      <c r="AK33" s="5"/>
      <c r="AL33" s="5"/>
      <c r="AM33" s="7">
        <v>1</v>
      </c>
      <c r="AN33" s="7">
        <v>16384</v>
      </c>
      <c r="AO33" s="5" t="s">
        <v>818</v>
      </c>
      <c r="AP33" s="5" t="s">
        <v>192</v>
      </c>
      <c r="AQ33" s="5" t="s">
        <v>193</v>
      </c>
      <c r="AR33" s="5"/>
      <c r="AS33" s="5" t="s">
        <v>1950</v>
      </c>
      <c r="AT33" s="5" t="s">
        <v>150</v>
      </c>
      <c r="AU33" s="7"/>
      <c r="AV33" s="5" t="s">
        <v>151</v>
      </c>
      <c r="AW33" s="7">
        <v>-1</v>
      </c>
      <c r="AX33" s="7">
        <v>-1</v>
      </c>
      <c r="AY33" s="5"/>
      <c r="AZ33" s="7">
        <v>22613</v>
      </c>
      <c r="BA33" s="7">
        <v>22613</v>
      </c>
      <c r="BB33" s="7">
        <v>20480</v>
      </c>
      <c r="BC33" s="5" t="s">
        <v>152</v>
      </c>
      <c r="BD33" s="5" t="s">
        <v>153</v>
      </c>
      <c r="BE33" s="5" t="s">
        <v>154</v>
      </c>
      <c r="BF33" s="5"/>
      <c r="BG33" s="5"/>
      <c r="BH33" s="5" t="s">
        <v>1944</v>
      </c>
      <c r="BI33" s="7">
        <v>0</v>
      </c>
      <c r="BJ33" s="7">
        <v>10000</v>
      </c>
      <c r="BK33" s="5" t="s">
        <v>1944</v>
      </c>
      <c r="BL33" s="5" t="s">
        <v>1944</v>
      </c>
      <c r="BM33" s="5"/>
      <c r="BN33" s="5" t="s">
        <v>1944</v>
      </c>
      <c r="BO33" s="5" t="s">
        <v>155</v>
      </c>
      <c r="BP33" s="7">
        <v>14</v>
      </c>
      <c r="BQ33" s="5" t="s">
        <v>153</v>
      </c>
      <c r="BR33" s="5" t="s">
        <v>156</v>
      </c>
      <c r="BS33" s="5"/>
      <c r="BT33" s="5" t="s">
        <v>1109</v>
      </c>
      <c r="BU33" s="5" t="s">
        <v>1110</v>
      </c>
      <c r="BV33" s="5" t="s">
        <v>1110</v>
      </c>
      <c r="BW33" s="5" t="s">
        <v>1110</v>
      </c>
      <c r="BX33" s="5" t="s">
        <v>1111</v>
      </c>
      <c r="BY33" s="5" t="s">
        <v>2074</v>
      </c>
      <c r="BZ33" s="5" t="s">
        <v>2075</v>
      </c>
      <c r="CA33" s="5" t="s">
        <v>1114</v>
      </c>
      <c r="CB33" s="5"/>
      <c r="CC33" s="5"/>
      <c r="CD33" s="5"/>
      <c r="CE33" s="5"/>
      <c r="CF33" s="5"/>
      <c r="CG33" s="5"/>
      <c r="CH33" s="5" t="s">
        <v>161</v>
      </c>
      <c r="CI33" s="5" t="s">
        <v>824</v>
      </c>
      <c r="CJ33" s="5" t="s">
        <v>912</v>
      </c>
      <c r="CK33" s="5" t="s">
        <v>1115</v>
      </c>
      <c r="CL33" s="5" t="s">
        <v>1116</v>
      </c>
      <c r="CM33" s="5" t="s">
        <v>166</v>
      </c>
      <c r="CN33" s="5"/>
      <c r="CO33" s="5" t="s">
        <v>1114</v>
      </c>
      <c r="CP33" s="5" t="s">
        <v>1117</v>
      </c>
      <c r="CQ33" s="5" t="s">
        <v>1118</v>
      </c>
      <c r="CR33" s="5" t="s">
        <v>170</v>
      </c>
      <c r="CS33" s="5" t="s">
        <v>171</v>
      </c>
      <c r="CT33" s="5" t="s">
        <v>172</v>
      </c>
      <c r="CU33" s="5" t="s">
        <v>173</v>
      </c>
    </row>
    <row r="34" spans="1:99" s="4" customFormat="1" ht="11.25">
      <c r="A34" s="35" t="s">
        <v>1324</v>
      </c>
      <c r="B34" s="5" t="s">
        <v>135</v>
      </c>
      <c r="C34" s="5" t="s">
        <v>1944</v>
      </c>
      <c r="D34" s="5" t="s">
        <v>1944</v>
      </c>
      <c r="E34" s="5" t="s">
        <v>136</v>
      </c>
      <c r="F34" s="5" t="s">
        <v>1325</v>
      </c>
      <c r="G34" s="5" t="s">
        <v>138</v>
      </c>
      <c r="H34" s="5" t="s">
        <v>139</v>
      </c>
      <c r="I34" s="5" t="s">
        <v>136</v>
      </c>
      <c r="J34" s="5" t="s">
        <v>1944</v>
      </c>
      <c r="K34" s="6">
        <v>45774.802013888897</v>
      </c>
      <c r="L34" s="5"/>
      <c r="M34" s="6"/>
      <c r="N34" s="5" t="s">
        <v>1945</v>
      </c>
      <c r="O34" s="6">
        <v>43980.708275463003</v>
      </c>
      <c r="P34" s="6">
        <v>45869.335787037002</v>
      </c>
      <c r="Q34" s="7">
        <v>2</v>
      </c>
      <c r="R34" s="5" t="s">
        <v>140</v>
      </c>
      <c r="S34" s="7">
        <v>12288</v>
      </c>
      <c r="T34" s="7">
        <v>1228</v>
      </c>
      <c r="U34" s="7">
        <v>3</v>
      </c>
      <c r="V34" s="7">
        <v>3</v>
      </c>
      <c r="W34" s="7">
        <v>153600</v>
      </c>
      <c r="X34" s="5"/>
      <c r="Y34" s="7" t="s">
        <v>1326</v>
      </c>
      <c r="Z34" s="5" t="s">
        <v>142</v>
      </c>
      <c r="AA34" s="7"/>
      <c r="AB34" s="5" t="s">
        <v>1946</v>
      </c>
      <c r="AC34" s="5" t="s">
        <v>1946</v>
      </c>
      <c r="AD34" s="5" t="s">
        <v>1327</v>
      </c>
      <c r="AE34" s="5" t="s">
        <v>1328</v>
      </c>
      <c r="AF34" s="5" t="s">
        <v>1329</v>
      </c>
      <c r="AG34" s="5" t="s">
        <v>1330</v>
      </c>
      <c r="AH34" s="5"/>
      <c r="AI34" s="5"/>
      <c r="AJ34" s="5"/>
      <c r="AK34" s="5"/>
      <c r="AL34" s="5"/>
      <c r="AM34" s="7">
        <v>1</v>
      </c>
      <c r="AN34" s="7">
        <v>16384</v>
      </c>
      <c r="AO34" s="5" t="s">
        <v>1331</v>
      </c>
      <c r="AP34" s="5" t="s">
        <v>1332</v>
      </c>
      <c r="AQ34" s="5" t="s">
        <v>1333</v>
      </c>
      <c r="AR34" s="5"/>
      <c r="AS34" s="5" t="s">
        <v>1950</v>
      </c>
      <c r="AT34" s="5" t="s">
        <v>150</v>
      </c>
      <c r="AU34" s="7"/>
      <c r="AV34" s="5" t="s">
        <v>151</v>
      </c>
      <c r="AW34" s="7">
        <v>-1</v>
      </c>
      <c r="AX34" s="7">
        <v>-1</v>
      </c>
      <c r="AY34" s="5"/>
      <c r="AZ34" s="7">
        <v>165992</v>
      </c>
      <c r="BA34" s="7">
        <v>165992</v>
      </c>
      <c r="BB34" s="7">
        <v>153600</v>
      </c>
      <c r="BC34" s="5" t="s">
        <v>152</v>
      </c>
      <c r="BD34" s="5" t="s">
        <v>153</v>
      </c>
      <c r="BE34" s="5" t="s">
        <v>154</v>
      </c>
      <c r="BF34" s="5"/>
      <c r="BG34" s="5"/>
      <c r="BH34" s="5" t="s">
        <v>1944</v>
      </c>
      <c r="BI34" s="7">
        <v>0</v>
      </c>
      <c r="BJ34" s="7">
        <v>10000</v>
      </c>
      <c r="BK34" s="5" t="s">
        <v>1944</v>
      </c>
      <c r="BL34" s="5" t="s">
        <v>1944</v>
      </c>
      <c r="BM34" s="5"/>
      <c r="BN34" s="5" t="s">
        <v>1944</v>
      </c>
      <c r="BO34" s="5" t="s">
        <v>155</v>
      </c>
      <c r="BP34" s="7">
        <v>15</v>
      </c>
      <c r="BQ34" s="5" t="s">
        <v>153</v>
      </c>
      <c r="BR34" s="5" t="s">
        <v>156</v>
      </c>
      <c r="BS34" s="5"/>
      <c r="BT34" s="5" t="s">
        <v>1334</v>
      </c>
      <c r="BU34" s="5" t="s">
        <v>1335</v>
      </c>
      <c r="BV34" s="5" t="s">
        <v>1335</v>
      </c>
      <c r="BW34" s="5" t="s">
        <v>1335</v>
      </c>
      <c r="BX34" s="5" t="s">
        <v>1336</v>
      </c>
      <c r="BY34" s="5" t="s">
        <v>2076</v>
      </c>
      <c r="BZ34" s="5" t="s">
        <v>2077</v>
      </c>
      <c r="CA34" s="5" t="s">
        <v>1339</v>
      </c>
      <c r="CB34" s="5"/>
      <c r="CC34" s="5"/>
      <c r="CD34" s="5"/>
      <c r="CE34" s="5"/>
      <c r="CF34" s="5"/>
      <c r="CG34" s="5"/>
      <c r="CH34" s="5" t="s">
        <v>161</v>
      </c>
      <c r="CI34" s="5" t="s">
        <v>1340</v>
      </c>
      <c r="CJ34" s="5" t="s">
        <v>1341</v>
      </c>
      <c r="CK34" s="5" t="s">
        <v>1042</v>
      </c>
      <c r="CL34" s="5" t="s">
        <v>213</v>
      </c>
      <c r="CM34" s="5" t="s">
        <v>166</v>
      </c>
      <c r="CN34" s="5"/>
      <c r="CO34" s="5" t="s">
        <v>1339</v>
      </c>
      <c r="CP34" s="5" t="s">
        <v>1342</v>
      </c>
      <c r="CQ34" s="5" t="s">
        <v>1343</v>
      </c>
      <c r="CR34" s="5" t="s">
        <v>170</v>
      </c>
      <c r="CS34" s="5" t="s">
        <v>171</v>
      </c>
      <c r="CT34" s="5" t="s">
        <v>172</v>
      </c>
      <c r="CU34" s="5" t="s">
        <v>173</v>
      </c>
    </row>
    <row r="35" spans="1:99" s="4" customFormat="1" ht="11.25">
      <c r="A35" s="35" t="s">
        <v>1407</v>
      </c>
      <c r="B35" s="5" t="s">
        <v>135</v>
      </c>
      <c r="C35" s="5" t="s">
        <v>1944</v>
      </c>
      <c r="D35" s="5" t="s">
        <v>1944</v>
      </c>
      <c r="E35" s="5" t="s">
        <v>136</v>
      </c>
      <c r="F35" s="5" t="s">
        <v>1408</v>
      </c>
      <c r="G35" s="5" t="s">
        <v>138</v>
      </c>
      <c r="H35" s="5" t="s">
        <v>139</v>
      </c>
      <c r="I35" s="5" t="s">
        <v>136</v>
      </c>
      <c r="J35" s="5" t="s">
        <v>1944</v>
      </c>
      <c r="K35" s="6">
        <v>45805.863900463002</v>
      </c>
      <c r="L35" s="5"/>
      <c r="M35" s="6"/>
      <c r="N35" s="5" t="s">
        <v>1945</v>
      </c>
      <c r="O35" s="6">
        <v>25568.791666666701</v>
      </c>
      <c r="P35" s="6">
        <v>45864.422824074099</v>
      </c>
      <c r="Q35" s="7">
        <v>4</v>
      </c>
      <c r="R35" s="5"/>
      <c r="S35" s="7">
        <v>8192</v>
      </c>
      <c r="T35" s="7">
        <v>1064</v>
      </c>
      <c r="U35" s="7">
        <v>3</v>
      </c>
      <c r="V35" s="7">
        <v>1</v>
      </c>
      <c r="W35" s="7">
        <v>512383</v>
      </c>
      <c r="X35" s="5"/>
      <c r="Y35" s="7" t="s">
        <v>832</v>
      </c>
      <c r="Z35" s="5" t="s">
        <v>142</v>
      </c>
      <c r="AA35" s="7"/>
      <c r="AB35" s="5" t="s">
        <v>1946</v>
      </c>
      <c r="AC35" s="5" t="s">
        <v>1946</v>
      </c>
      <c r="AD35" s="5" t="s">
        <v>1409</v>
      </c>
      <c r="AE35" s="5" t="s">
        <v>834</v>
      </c>
      <c r="AF35" s="5" t="s">
        <v>1410</v>
      </c>
      <c r="AG35" s="5" t="s">
        <v>836</v>
      </c>
      <c r="AH35" s="5"/>
      <c r="AI35" s="5"/>
      <c r="AJ35" s="5"/>
      <c r="AK35" s="5"/>
      <c r="AL35" s="5"/>
      <c r="AM35" s="7">
        <v>1</v>
      </c>
      <c r="AN35" s="7">
        <v>0</v>
      </c>
      <c r="AO35" s="5" t="s">
        <v>837</v>
      </c>
      <c r="AP35" s="5" t="s">
        <v>317</v>
      </c>
      <c r="AQ35" s="5" t="s">
        <v>318</v>
      </c>
      <c r="AR35" s="5"/>
      <c r="AS35" s="5" t="s">
        <v>1950</v>
      </c>
      <c r="AT35" s="5" t="s">
        <v>150</v>
      </c>
      <c r="AU35" s="7"/>
      <c r="AV35" s="5" t="s">
        <v>151</v>
      </c>
      <c r="AW35" s="7">
        <v>-1</v>
      </c>
      <c r="AX35" s="7">
        <v>-1</v>
      </c>
      <c r="AY35" s="5"/>
      <c r="AZ35" s="7">
        <v>520721</v>
      </c>
      <c r="BA35" s="7">
        <v>520721</v>
      </c>
      <c r="BB35" s="7">
        <v>512383</v>
      </c>
      <c r="BC35" s="5" t="s">
        <v>152</v>
      </c>
      <c r="BD35" s="5" t="s">
        <v>153</v>
      </c>
      <c r="BE35" s="5" t="s">
        <v>154</v>
      </c>
      <c r="BF35" s="5"/>
      <c r="BG35" s="5"/>
      <c r="BH35" s="5" t="s">
        <v>1944</v>
      </c>
      <c r="BI35" s="7">
        <v>0</v>
      </c>
      <c r="BJ35" s="7">
        <v>10000</v>
      </c>
      <c r="BK35" s="5" t="s">
        <v>1944</v>
      </c>
      <c r="BL35" s="5" t="s">
        <v>1944</v>
      </c>
      <c r="BM35" s="5"/>
      <c r="BN35" s="5" t="s">
        <v>1944</v>
      </c>
      <c r="BO35" s="5" t="s">
        <v>155</v>
      </c>
      <c r="BP35" s="7">
        <v>13</v>
      </c>
      <c r="BQ35" s="5" t="s">
        <v>153</v>
      </c>
      <c r="BR35" s="5" t="s">
        <v>156</v>
      </c>
      <c r="BS35" s="5"/>
      <c r="BT35" s="5" t="s">
        <v>1411</v>
      </c>
      <c r="BU35" s="5" t="s">
        <v>1412</v>
      </c>
      <c r="BV35" s="5" t="s">
        <v>1412</v>
      </c>
      <c r="BW35" s="5" t="s">
        <v>1412</v>
      </c>
      <c r="BX35" s="5"/>
      <c r="BY35" s="5" t="s">
        <v>2078</v>
      </c>
      <c r="BZ35" s="5" t="s">
        <v>2079</v>
      </c>
      <c r="CA35" s="5" t="s">
        <v>1414</v>
      </c>
      <c r="CB35" s="5"/>
      <c r="CC35" s="5"/>
      <c r="CD35" s="5"/>
      <c r="CE35" s="5"/>
      <c r="CF35" s="5"/>
      <c r="CG35" s="5"/>
      <c r="CH35" s="5" t="s">
        <v>161</v>
      </c>
      <c r="CI35" s="5" t="s">
        <v>844</v>
      </c>
      <c r="CJ35" s="5" t="s">
        <v>896</v>
      </c>
      <c r="CK35" s="5" t="s">
        <v>826</v>
      </c>
      <c r="CL35" s="5" t="s">
        <v>826</v>
      </c>
      <c r="CM35" s="5"/>
      <c r="CN35" s="5"/>
      <c r="CO35" s="5" t="s">
        <v>1414</v>
      </c>
      <c r="CP35" s="5" t="s">
        <v>1415</v>
      </c>
      <c r="CQ35" s="5" t="s">
        <v>1416</v>
      </c>
      <c r="CR35" s="5" t="s">
        <v>170</v>
      </c>
      <c r="CS35" s="5" t="s">
        <v>171</v>
      </c>
      <c r="CT35" s="5" t="s">
        <v>172</v>
      </c>
      <c r="CU35" s="5" t="s">
        <v>173</v>
      </c>
    </row>
    <row r="36" spans="1:99" s="4" customFormat="1" ht="11.25">
      <c r="A36" s="35" t="s">
        <v>1508</v>
      </c>
      <c r="B36" s="5" t="s">
        <v>135</v>
      </c>
      <c r="C36" s="5" t="s">
        <v>1944</v>
      </c>
      <c r="D36" s="5" t="s">
        <v>1944</v>
      </c>
      <c r="E36" s="5" t="s">
        <v>136</v>
      </c>
      <c r="F36" s="5" t="s">
        <v>1509</v>
      </c>
      <c r="G36" s="5" t="s">
        <v>138</v>
      </c>
      <c r="H36" s="5" t="s">
        <v>139</v>
      </c>
      <c r="I36" s="5" t="s">
        <v>136</v>
      </c>
      <c r="J36" s="5" t="s">
        <v>1944</v>
      </c>
      <c r="K36" s="6">
        <v>45773.969525462999</v>
      </c>
      <c r="L36" s="5"/>
      <c r="M36" s="6"/>
      <c r="N36" s="5" t="s">
        <v>1945</v>
      </c>
      <c r="O36" s="6">
        <v>25568.791666666701</v>
      </c>
      <c r="P36" s="6">
        <v>45864.422800925902</v>
      </c>
      <c r="Q36" s="7">
        <v>4</v>
      </c>
      <c r="R36" s="5" t="s">
        <v>140</v>
      </c>
      <c r="S36" s="7">
        <v>16384</v>
      </c>
      <c r="T36" s="7">
        <v>819</v>
      </c>
      <c r="U36" s="7">
        <v>3</v>
      </c>
      <c r="V36" s="7">
        <v>3</v>
      </c>
      <c r="W36" s="7">
        <v>1150976</v>
      </c>
      <c r="X36" s="5"/>
      <c r="Y36" s="7" t="s">
        <v>311</v>
      </c>
      <c r="Z36" s="5" t="s">
        <v>142</v>
      </c>
      <c r="AA36" s="7"/>
      <c r="AB36" s="5" t="s">
        <v>1946</v>
      </c>
      <c r="AC36" s="5" t="s">
        <v>1946</v>
      </c>
      <c r="AD36" s="5" t="s">
        <v>1510</v>
      </c>
      <c r="AE36" s="5" t="s">
        <v>1511</v>
      </c>
      <c r="AF36" s="5" t="s">
        <v>714</v>
      </c>
      <c r="AG36" s="5" t="s">
        <v>654</v>
      </c>
      <c r="AH36" s="5"/>
      <c r="AI36" s="5"/>
      <c r="AJ36" s="5"/>
      <c r="AK36" s="5"/>
      <c r="AL36" s="5"/>
      <c r="AM36" s="7">
        <v>1</v>
      </c>
      <c r="AN36" s="7">
        <v>16384</v>
      </c>
      <c r="AO36" s="5" t="s">
        <v>416</v>
      </c>
      <c r="AP36" s="5" t="s">
        <v>192</v>
      </c>
      <c r="AQ36" s="5" t="s">
        <v>193</v>
      </c>
      <c r="AR36" s="5"/>
      <c r="AS36" s="5" t="s">
        <v>1950</v>
      </c>
      <c r="AT36" s="5" t="s">
        <v>150</v>
      </c>
      <c r="AU36" s="7"/>
      <c r="AV36" s="5" t="s">
        <v>151</v>
      </c>
      <c r="AW36" s="7">
        <v>-1</v>
      </c>
      <c r="AX36" s="7">
        <v>-1</v>
      </c>
      <c r="AY36" s="5"/>
      <c r="AZ36" s="7">
        <v>1167746</v>
      </c>
      <c r="BA36" s="7">
        <v>1167746</v>
      </c>
      <c r="BB36" s="7">
        <v>1150976</v>
      </c>
      <c r="BC36" s="5" t="s">
        <v>152</v>
      </c>
      <c r="BD36" s="5" t="s">
        <v>153</v>
      </c>
      <c r="BE36" s="5" t="s">
        <v>154</v>
      </c>
      <c r="BF36" s="5"/>
      <c r="BG36" s="5"/>
      <c r="BH36" s="5" t="s">
        <v>1944</v>
      </c>
      <c r="BI36" s="7">
        <v>0</v>
      </c>
      <c r="BJ36" s="7">
        <v>10000</v>
      </c>
      <c r="BK36" s="5" t="s">
        <v>1944</v>
      </c>
      <c r="BL36" s="5" t="s">
        <v>1944</v>
      </c>
      <c r="BM36" s="5"/>
      <c r="BN36" s="5" t="s">
        <v>1944</v>
      </c>
      <c r="BO36" s="5" t="s">
        <v>155</v>
      </c>
      <c r="BP36" s="7">
        <v>19</v>
      </c>
      <c r="BQ36" s="5" t="s">
        <v>153</v>
      </c>
      <c r="BR36" s="5" t="s">
        <v>156</v>
      </c>
      <c r="BS36" s="5"/>
      <c r="BT36" s="5" t="s">
        <v>1512</v>
      </c>
      <c r="BU36" s="5" t="s">
        <v>1513</v>
      </c>
      <c r="BV36" s="5" t="s">
        <v>1513</v>
      </c>
      <c r="BW36" s="5" t="s">
        <v>1513</v>
      </c>
      <c r="BX36" s="5" t="s">
        <v>1468</v>
      </c>
      <c r="BY36" s="5" t="s">
        <v>2080</v>
      </c>
      <c r="BZ36" s="5" t="s">
        <v>2081</v>
      </c>
      <c r="CA36" s="5" t="s">
        <v>1516</v>
      </c>
      <c r="CB36" s="5"/>
      <c r="CC36" s="5"/>
      <c r="CD36" s="5"/>
      <c r="CE36" s="5"/>
      <c r="CF36" s="5"/>
      <c r="CG36" s="5"/>
      <c r="CH36" s="5" t="s">
        <v>161</v>
      </c>
      <c r="CI36" s="5" t="s">
        <v>323</v>
      </c>
      <c r="CJ36" s="5" t="s">
        <v>446</v>
      </c>
      <c r="CK36" s="5" t="s">
        <v>826</v>
      </c>
      <c r="CL36" s="5" t="s">
        <v>826</v>
      </c>
      <c r="CM36" s="5" t="s">
        <v>166</v>
      </c>
      <c r="CN36" s="5"/>
      <c r="CO36" s="5" t="s">
        <v>1516</v>
      </c>
      <c r="CP36" s="5" t="s">
        <v>1517</v>
      </c>
      <c r="CQ36" s="5" t="s">
        <v>1518</v>
      </c>
      <c r="CR36" s="5" t="s">
        <v>170</v>
      </c>
      <c r="CS36" s="5" t="s">
        <v>171</v>
      </c>
      <c r="CT36" s="5" t="s">
        <v>172</v>
      </c>
      <c r="CU36" s="5" t="s">
        <v>173</v>
      </c>
    </row>
    <row r="37" spans="1:99" s="4" customFormat="1" ht="11.25">
      <c r="A37" s="35" t="s">
        <v>1571</v>
      </c>
      <c r="B37" s="5" t="s">
        <v>135</v>
      </c>
      <c r="C37" s="5" t="s">
        <v>1944</v>
      </c>
      <c r="D37" s="5" t="s">
        <v>1944</v>
      </c>
      <c r="E37" s="5" t="s">
        <v>136</v>
      </c>
      <c r="F37" s="5" t="s">
        <v>1572</v>
      </c>
      <c r="G37" s="5" t="s">
        <v>138</v>
      </c>
      <c r="H37" s="5" t="s">
        <v>139</v>
      </c>
      <c r="I37" s="5" t="s">
        <v>136</v>
      </c>
      <c r="J37" s="5" t="s">
        <v>1944</v>
      </c>
      <c r="K37" s="6">
        <v>45776.533101851899</v>
      </c>
      <c r="L37" s="5"/>
      <c r="M37" s="6"/>
      <c r="N37" s="5" t="s">
        <v>1945</v>
      </c>
      <c r="O37" s="6">
        <v>44036.695682870399</v>
      </c>
      <c r="P37" s="6">
        <v>45868.128773148201</v>
      </c>
      <c r="Q37" s="7">
        <v>2</v>
      </c>
      <c r="R37" s="5" t="s">
        <v>140</v>
      </c>
      <c r="S37" s="7">
        <v>8192</v>
      </c>
      <c r="T37" s="7">
        <v>1228</v>
      </c>
      <c r="U37" s="7">
        <v>3</v>
      </c>
      <c r="V37" s="7">
        <v>3</v>
      </c>
      <c r="W37" s="7">
        <v>225280</v>
      </c>
      <c r="X37" s="5"/>
      <c r="Y37" s="7" t="s">
        <v>1326</v>
      </c>
      <c r="Z37" s="5" t="s">
        <v>142</v>
      </c>
      <c r="AA37" s="7"/>
      <c r="AB37" s="5" t="s">
        <v>1946</v>
      </c>
      <c r="AC37" s="5" t="s">
        <v>1946</v>
      </c>
      <c r="AD37" s="5" t="s">
        <v>1573</v>
      </c>
      <c r="AE37" s="5" t="s">
        <v>1328</v>
      </c>
      <c r="AF37" s="5" t="s">
        <v>1329</v>
      </c>
      <c r="AG37" s="5" t="s">
        <v>1330</v>
      </c>
      <c r="AH37" s="5"/>
      <c r="AI37" s="5"/>
      <c r="AJ37" s="5"/>
      <c r="AK37" s="5"/>
      <c r="AL37" s="5"/>
      <c r="AM37" s="7">
        <v>1</v>
      </c>
      <c r="AN37" s="7">
        <v>16384</v>
      </c>
      <c r="AO37" s="5" t="s">
        <v>1331</v>
      </c>
      <c r="AP37" s="5" t="s">
        <v>317</v>
      </c>
      <c r="AQ37" s="5" t="s">
        <v>318</v>
      </c>
      <c r="AR37" s="5"/>
      <c r="AS37" s="5" t="s">
        <v>1950</v>
      </c>
      <c r="AT37" s="5" t="s">
        <v>150</v>
      </c>
      <c r="AU37" s="7"/>
      <c r="AV37" s="5" t="s">
        <v>151</v>
      </c>
      <c r="AW37" s="7">
        <v>-1</v>
      </c>
      <c r="AX37" s="7">
        <v>-1</v>
      </c>
      <c r="AY37" s="5"/>
      <c r="AZ37" s="7">
        <v>233578</v>
      </c>
      <c r="BA37" s="7">
        <v>233578</v>
      </c>
      <c r="BB37" s="7">
        <v>225280</v>
      </c>
      <c r="BC37" s="5" t="s">
        <v>152</v>
      </c>
      <c r="BD37" s="5" t="s">
        <v>153</v>
      </c>
      <c r="BE37" s="5" t="s">
        <v>154</v>
      </c>
      <c r="BF37" s="5"/>
      <c r="BG37" s="5"/>
      <c r="BH37" s="5" t="s">
        <v>1944</v>
      </c>
      <c r="BI37" s="7">
        <v>0</v>
      </c>
      <c r="BJ37" s="7">
        <v>10000</v>
      </c>
      <c r="BK37" s="5" t="s">
        <v>1944</v>
      </c>
      <c r="BL37" s="5" t="s">
        <v>1944</v>
      </c>
      <c r="BM37" s="5"/>
      <c r="BN37" s="5" t="s">
        <v>1944</v>
      </c>
      <c r="BO37" s="5" t="s">
        <v>155</v>
      </c>
      <c r="BP37" s="7">
        <v>15</v>
      </c>
      <c r="BQ37" s="5" t="s">
        <v>153</v>
      </c>
      <c r="BR37" s="5" t="s">
        <v>156</v>
      </c>
      <c r="BS37" s="5"/>
      <c r="BT37" s="5" t="s">
        <v>1574</v>
      </c>
      <c r="BU37" s="5" t="s">
        <v>1575</v>
      </c>
      <c r="BV37" s="5" t="s">
        <v>1575</v>
      </c>
      <c r="BW37" s="5" t="s">
        <v>1575</v>
      </c>
      <c r="BX37" s="5" t="s">
        <v>1576</v>
      </c>
      <c r="BY37" s="5" t="s">
        <v>2082</v>
      </c>
      <c r="BZ37" s="5" t="s">
        <v>2083</v>
      </c>
      <c r="CA37" s="5" t="s">
        <v>1579</v>
      </c>
      <c r="CB37" s="5"/>
      <c r="CC37" s="5"/>
      <c r="CD37" s="5"/>
      <c r="CE37" s="5"/>
      <c r="CF37" s="5"/>
      <c r="CG37" s="5"/>
      <c r="CH37" s="5" t="s">
        <v>161</v>
      </c>
      <c r="CI37" s="5" t="s">
        <v>1340</v>
      </c>
      <c r="CJ37" s="5" t="s">
        <v>1341</v>
      </c>
      <c r="CK37" s="5" t="s">
        <v>1042</v>
      </c>
      <c r="CL37" s="5" t="s">
        <v>213</v>
      </c>
      <c r="CM37" s="5" t="s">
        <v>166</v>
      </c>
      <c r="CN37" s="5"/>
      <c r="CO37" s="5" t="s">
        <v>1579</v>
      </c>
      <c r="CP37" s="5" t="s">
        <v>1580</v>
      </c>
      <c r="CQ37" s="5" t="s">
        <v>1581</v>
      </c>
      <c r="CR37" s="5" t="s">
        <v>170</v>
      </c>
      <c r="CS37" s="5" t="s">
        <v>171</v>
      </c>
      <c r="CT37" s="5" t="s">
        <v>172</v>
      </c>
      <c r="CU37" s="5" t="s">
        <v>173</v>
      </c>
    </row>
    <row r="38" spans="1:99" s="4" customFormat="1" ht="11.25">
      <c r="A38" s="35" t="s">
        <v>1678</v>
      </c>
      <c r="B38" s="5" t="s">
        <v>135</v>
      </c>
      <c r="C38" s="5" t="s">
        <v>1944</v>
      </c>
      <c r="D38" s="5" t="s">
        <v>1944</v>
      </c>
      <c r="E38" s="5" t="s">
        <v>136</v>
      </c>
      <c r="F38" s="5" t="s">
        <v>1679</v>
      </c>
      <c r="G38" s="5" t="s">
        <v>138</v>
      </c>
      <c r="H38" s="5" t="s">
        <v>139</v>
      </c>
      <c r="I38" s="5" t="s">
        <v>136</v>
      </c>
      <c r="J38" s="5" t="s">
        <v>1944</v>
      </c>
      <c r="K38" s="6">
        <v>45857.875590277799</v>
      </c>
      <c r="L38" s="5"/>
      <c r="M38" s="6"/>
      <c r="N38" s="5" t="s">
        <v>1945</v>
      </c>
      <c r="O38" s="6">
        <v>44452.936099537001</v>
      </c>
      <c r="P38" s="6">
        <v>45869.294004629599</v>
      </c>
      <c r="Q38" s="7">
        <v>4</v>
      </c>
      <c r="R38" s="5" t="s">
        <v>140</v>
      </c>
      <c r="S38" s="7">
        <v>12288</v>
      </c>
      <c r="T38" s="7">
        <v>737</v>
      </c>
      <c r="U38" s="7">
        <v>3</v>
      </c>
      <c r="V38" s="7">
        <v>3</v>
      </c>
      <c r="W38" s="7">
        <v>204800</v>
      </c>
      <c r="X38" s="5"/>
      <c r="Y38" s="7" t="s">
        <v>1326</v>
      </c>
      <c r="Z38" s="5" t="s">
        <v>142</v>
      </c>
      <c r="AA38" s="7"/>
      <c r="AB38" s="5" t="s">
        <v>1946</v>
      </c>
      <c r="AC38" s="5" t="s">
        <v>1946</v>
      </c>
      <c r="AD38" s="5" t="s">
        <v>1680</v>
      </c>
      <c r="AE38" s="5" t="s">
        <v>1656</v>
      </c>
      <c r="AF38" s="5" t="s">
        <v>1036</v>
      </c>
      <c r="AG38" s="5" t="s">
        <v>905</v>
      </c>
      <c r="AH38" s="5"/>
      <c r="AI38" s="5"/>
      <c r="AJ38" s="5"/>
      <c r="AK38" s="5"/>
      <c r="AL38" s="5"/>
      <c r="AM38" s="7">
        <v>1</v>
      </c>
      <c r="AN38" s="7">
        <v>16384</v>
      </c>
      <c r="AO38" s="5" t="s">
        <v>818</v>
      </c>
      <c r="AP38" s="5" t="s">
        <v>192</v>
      </c>
      <c r="AQ38" s="5" t="s">
        <v>193</v>
      </c>
      <c r="AR38" s="5"/>
      <c r="AS38" s="5" t="s">
        <v>1950</v>
      </c>
      <c r="AT38" s="5" t="s">
        <v>150</v>
      </c>
      <c r="AU38" s="7"/>
      <c r="AV38" s="5" t="s">
        <v>151</v>
      </c>
      <c r="AW38" s="7">
        <v>-1</v>
      </c>
      <c r="AX38" s="7">
        <v>-1</v>
      </c>
      <c r="AY38" s="5"/>
      <c r="AZ38" s="7">
        <v>217195</v>
      </c>
      <c r="BA38" s="7">
        <v>217195</v>
      </c>
      <c r="BB38" s="7">
        <v>204800</v>
      </c>
      <c r="BC38" s="5" t="s">
        <v>152</v>
      </c>
      <c r="BD38" s="5" t="s">
        <v>153</v>
      </c>
      <c r="BE38" s="5" t="s">
        <v>154</v>
      </c>
      <c r="BF38" s="5"/>
      <c r="BG38" s="5"/>
      <c r="BH38" s="5" t="s">
        <v>1944</v>
      </c>
      <c r="BI38" s="7">
        <v>0</v>
      </c>
      <c r="BJ38" s="7">
        <v>10000</v>
      </c>
      <c r="BK38" s="5" t="s">
        <v>1944</v>
      </c>
      <c r="BL38" s="5" t="s">
        <v>1944</v>
      </c>
      <c r="BM38" s="5"/>
      <c r="BN38" s="5" t="s">
        <v>1944</v>
      </c>
      <c r="BO38" s="5" t="s">
        <v>155</v>
      </c>
      <c r="BP38" s="7">
        <v>19</v>
      </c>
      <c r="BQ38" s="5" t="s">
        <v>153</v>
      </c>
      <c r="BR38" s="5" t="s">
        <v>156</v>
      </c>
      <c r="BS38" s="5"/>
      <c r="BT38" s="5" t="s">
        <v>1681</v>
      </c>
      <c r="BU38" s="5" t="s">
        <v>1682</v>
      </c>
      <c r="BV38" s="5" t="s">
        <v>1682</v>
      </c>
      <c r="BW38" s="5" t="s">
        <v>1682</v>
      </c>
      <c r="BX38" s="5"/>
      <c r="BY38" s="5" t="s">
        <v>2084</v>
      </c>
      <c r="BZ38" s="5" t="s">
        <v>2085</v>
      </c>
      <c r="CA38" s="5" t="s">
        <v>1685</v>
      </c>
      <c r="CB38" s="5"/>
      <c r="CC38" s="5"/>
      <c r="CD38" s="5"/>
      <c r="CE38" s="5"/>
      <c r="CF38" s="5"/>
      <c r="CG38" s="5"/>
      <c r="CH38" s="5" t="s">
        <v>161</v>
      </c>
      <c r="CI38" s="5" t="s">
        <v>824</v>
      </c>
      <c r="CJ38" s="5" t="s">
        <v>869</v>
      </c>
      <c r="CK38" s="5" t="s">
        <v>213</v>
      </c>
      <c r="CL38" s="5" t="s">
        <v>213</v>
      </c>
      <c r="CM38" s="5" t="s">
        <v>166</v>
      </c>
      <c r="CN38" s="5"/>
      <c r="CO38" s="5" t="s">
        <v>1685</v>
      </c>
      <c r="CP38" s="5" t="s">
        <v>1686</v>
      </c>
      <c r="CQ38" s="5" t="s">
        <v>1687</v>
      </c>
      <c r="CR38" s="5" t="s">
        <v>170</v>
      </c>
      <c r="CS38" s="5" t="s">
        <v>171</v>
      </c>
      <c r="CT38" s="5" t="s">
        <v>172</v>
      </c>
      <c r="CU38" s="5" t="s">
        <v>173</v>
      </c>
    </row>
    <row r="39" spans="1:99" s="4" customFormat="1" ht="11.25">
      <c r="A39" s="35" t="s">
        <v>1713</v>
      </c>
      <c r="B39" s="5" t="s">
        <v>135</v>
      </c>
      <c r="C39" s="5" t="s">
        <v>1944</v>
      </c>
      <c r="D39" s="5" t="s">
        <v>1944</v>
      </c>
      <c r="E39" s="5" t="s">
        <v>136</v>
      </c>
      <c r="F39" s="5" t="s">
        <v>1714</v>
      </c>
      <c r="G39" s="5" t="s">
        <v>138</v>
      </c>
      <c r="H39" s="5" t="s">
        <v>139</v>
      </c>
      <c r="I39" s="5" t="s">
        <v>136</v>
      </c>
      <c r="J39" s="5" t="s">
        <v>1944</v>
      </c>
      <c r="K39" s="6">
        <v>45857.879513888904</v>
      </c>
      <c r="L39" s="5"/>
      <c r="M39" s="6"/>
      <c r="N39" s="5" t="s">
        <v>1945</v>
      </c>
      <c r="O39" s="6">
        <v>44972.499664351897</v>
      </c>
      <c r="P39" s="6">
        <v>45864.422812500001</v>
      </c>
      <c r="Q39" s="7">
        <v>4</v>
      </c>
      <c r="R39" s="5" t="s">
        <v>140</v>
      </c>
      <c r="S39" s="7">
        <v>16384</v>
      </c>
      <c r="T39" s="7">
        <v>983</v>
      </c>
      <c r="U39" s="7">
        <v>3</v>
      </c>
      <c r="V39" s="7">
        <v>3</v>
      </c>
      <c r="W39" s="7">
        <v>327680</v>
      </c>
      <c r="X39" s="5"/>
      <c r="Y39" s="7" t="s">
        <v>177</v>
      </c>
      <c r="Z39" s="5" t="s">
        <v>142</v>
      </c>
      <c r="AA39" s="7"/>
      <c r="AB39" s="5" t="s">
        <v>1946</v>
      </c>
      <c r="AC39" s="5" t="s">
        <v>1946</v>
      </c>
      <c r="AD39" s="5" t="s">
        <v>1715</v>
      </c>
      <c r="AE39" s="5" t="s">
        <v>1692</v>
      </c>
      <c r="AF39" s="5" t="s">
        <v>145</v>
      </c>
      <c r="AG39" s="5" t="s">
        <v>146</v>
      </c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2059</v>
      </c>
      <c r="AP39" s="5" t="s">
        <v>317</v>
      </c>
      <c r="AQ39" s="5" t="s">
        <v>318</v>
      </c>
      <c r="AR39" s="5"/>
      <c r="AS39" s="5" t="s">
        <v>1950</v>
      </c>
      <c r="AT39" s="5" t="s">
        <v>150</v>
      </c>
      <c r="AU39" s="7"/>
      <c r="AV39" s="5" t="s">
        <v>151</v>
      </c>
      <c r="AW39" s="7">
        <v>-1</v>
      </c>
      <c r="AX39" s="7">
        <v>-1</v>
      </c>
      <c r="AY39" s="5"/>
      <c r="AZ39" s="7">
        <v>344185</v>
      </c>
      <c r="BA39" s="7">
        <v>344185</v>
      </c>
      <c r="BB39" s="7">
        <v>327680</v>
      </c>
      <c r="BC39" s="5" t="s">
        <v>152</v>
      </c>
      <c r="BD39" s="5" t="s">
        <v>153</v>
      </c>
      <c r="BE39" s="5" t="s">
        <v>154</v>
      </c>
      <c r="BF39" s="5"/>
      <c r="BG39" s="5"/>
      <c r="BH39" s="5" t="s">
        <v>1944</v>
      </c>
      <c r="BI39" s="7">
        <v>0</v>
      </c>
      <c r="BJ39" s="7">
        <v>10000</v>
      </c>
      <c r="BK39" s="5" t="s">
        <v>1944</v>
      </c>
      <c r="BL39" s="5" t="s">
        <v>1944</v>
      </c>
      <c r="BM39" s="5"/>
      <c r="BN39" s="5" t="s">
        <v>1950</v>
      </c>
      <c r="BO39" s="5" t="s">
        <v>236</v>
      </c>
      <c r="BP39" s="7">
        <v>19</v>
      </c>
      <c r="BQ39" s="5" t="s">
        <v>153</v>
      </c>
      <c r="BR39" s="5" t="s">
        <v>156</v>
      </c>
      <c r="BS39" s="5"/>
      <c r="BT39" s="5" t="s">
        <v>1716</v>
      </c>
      <c r="BU39" s="5" t="s">
        <v>1717</v>
      </c>
      <c r="BV39" s="5" t="s">
        <v>1717</v>
      </c>
      <c r="BW39" s="5" t="s">
        <v>1717</v>
      </c>
      <c r="BX39" s="5" t="s">
        <v>239</v>
      </c>
      <c r="BY39" s="5" t="s">
        <v>2086</v>
      </c>
      <c r="BZ39" s="5" t="s">
        <v>2087</v>
      </c>
      <c r="CA39" s="5" t="s">
        <v>1720</v>
      </c>
      <c r="CB39" s="5"/>
      <c r="CC39" s="5"/>
      <c r="CD39" s="5" t="s">
        <v>1697</v>
      </c>
      <c r="CE39" s="5"/>
      <c r="CF39" s="5"/>
      <c r="CG39" s="5"/>
      <c r="CH39" s="5" t="s">
        <v>161</v>
      </c>
      <c r="CI39" s="5" t="s">
        <v>162</v>
      </c>
      <c r="CJ39" s="5" t="s">
        <v>304</v>
      </c>
      <c r="CK39" s="5" t="s">
        <v>213</v>
      </c>
      <c r="CL39" s="5" t="s">
        <v>213</v>
      </c>
      <c r="CM39" s="5" t="s">
        <v>166</v>
      </c>
      <c r="CN39" s="5"/>
      <c r="CO39" s="5" t="s">
        <v>1720</v>
      </c>
      <c r="CP39" s="5" t="s">
        <v>1721</v>
      </c>
      <c r="CQ39" s="5" t="s">
        <v>1722</v>
      </c>
      <c r="CR39" s="5" t="s">
        <v>170</v>
      </c>
      <c r="CS39" s="5" t="s">
        <v>171</v>
      </c>
      <c r="CT39" s="5" t="s">
        <v>172</v>
      </c>
      <c r="CU39" s="5" t="s">
        <v>173</v>
      </c>
    </row>
    <row r="40" spans="1:99" s="4" customFormat="1" ht="11.25">
      <c r="A40" s="35" t="s">
        <v>1724</v>
      </c>
      <c r="B40" s="5" t="s">
        <v>135</v>
      </c>
      <c r="C40" s="5" t="s">
        <v>1944</v>
      </c>
      <c r="D40" s="5" t="s">
        <v>1944</v>
      </c>
      <c r="E40" s="5" t="s">
        <v>136</v>
      </c>
      <c r="F40" s="5" t="s">
        <v>1725</v>
      </c>
      <c r="G40" s="5" t="s">
        <v>138</v>
      </c>
      <c r="H40" s="5" t="s">
        <v>139</v>
      </c>
      <c r="I40" s="5" t="s">
        <v>136</v>
      </c>
      <c r="J40" s="5" t="s">
        <v>1944</v>
      </c>
      <c r="K40" s="6">
        <v>45774.0847685185</v>
      </c>
      <c r="L40" s="5"/>
      <c r="M40" s="6"/>
      <c r="N40" s="5" t="s">
        <v>1945</v>
      </c>
      <c r="O40" s="6">
        <v>44970.700520833299</v>
      </c>
      <c r="P40" s="6">
        <v>45864.422812500001</v>
      </c>
      <c r="Q40" s="7">
        <v>8</v>
      </c>
      <c r="R40" s="5" t="s">
        <v>140</v>
      </c>
      <c r="S40" s="7">
        <v>30720</v>
      </c>
      <c r="T40" s="7">
        <v>5222</v>
      </c>
      <c r="U40" s="7">
        <v>4</v>
      </c>
      <c r="V40" s="7">
        <v>4</v>
      </c>
      <c r="W40" s="7">
        <v>822272</v>
      </c>
      <c r="X40" s="5"/>
      <c r="Y40" s="7" t="s">
        <v>177</v>
      </c>
      <c r="Z40" s="5" t="s">
        <v>142</v>
      </c>
      <c r="AA40" s="7"/>
      <c r="AB40" s="5"/>
      <c r="AC40" s="5" t="s">
        <v>1946</v>
      </c>
      <c r="AD40" s="5" t="s">
        <v>1726</v>
      </c>
      <c r="AE40" s="5" t="s">
        <v>1692</v>
      </c>
      <c r="AF40" s="5" t="s">
        <v>145</v>
      </c>
      <c r="AG40" s="5" t="s">
        <v>146</v>
      </c>
      <c r="AH40" s="5" t="s">
        <v>1727</v>
      </c>
      <c r="AI40" s="5"/>
      <c r="AJ40" s="5"/>
      <c r="AK40" s="5"/>
      <c r="AL40" s="5"/>
      <c r="AM40" s="7">
        <v>1</v>
      </c>
      <c r="AN40" s="7">
        <v>4096</v>
      </c>
      <c r="AO40" s="5" t="s">
        <v>2059</v>
      </c>
      <c r="AP40" s="5" t="s">
        <v>317</v>
      </c>
      <c r="AQ40" s="5" t="s">
        <v>318</v>
      </c>
      <c r="AR40" s="5"/>
      <c r="AS40" s="5" t="s">
        <v>1950</v>
      </c>
      <c r="AT40" s="5" t="s">
        <v>150</v>
      </c>
      <c r="AU40" s="7"/>
      <c r="AV40" s="5" t="s">
        <v>151</v>
      </c>
      <c r="AW40" s="7">
        <v>-1</v>
      </c>
      <c r="AX40" s="7">
        <v>-1</v>
      </c>
      <c r="AY40" s="5"/>
      <c r="AZ40" s="7">
        <v>853233</v>
      </c>
      <c r="BA40" s="7">
        <v>853233</v>
      </c>
      <c r="BB40" s="7">
        <v>822272</v>
      </c>
      <c r="BC40" s="5" t="s">
        <v>152</v>
      </c>
      <c r="BD40" s="5" t="s">
        <v>153</v>
      </c>
      <c r="BE40" s="5" t="s">
        <v>154</v>
      </c>
      <c r="BF40" s="5"/>
      <c r="BG40" s="5"/>
      <c r="BH40" s="5" t="s">
        <v>1944</v>
      </c>
      <c r="BI40" s="7">
        <v>0</v>
      </c>
      <c r="BJ40" s="7">
        <v>10000</v>
      </c>
      <c r="BK40" s="5" t="s">
        <v>1944</v>
      </c>
      <c r="BL40" s="5" t="s">
        <v>1944</v>
      </c>
      <c r="BM40" s="5"/>
      <c r="BN40" s="5" t="s">
        <v>1944</v>
      </c>
      <c r="BO40" s="5" t="s">
        <v>155</v>
      </c>
      <c r="BP40" s="7">
        <v>19</v>
      </c>
      <c r="BQ40" s="5" t="s">
        <v>153</v>
      </c>
      <c r="BR40" s="5" t="s">
        <v>156</v>
      </c>
      <c r="BS40" s="5"/>
      <c r="BT40" s="5" t="s">
        <v>1728</v>
      </c>
      <c r="BU40" s="5" t="s">
        <v>1729</v>
      </c>
      <c r="BV40" s="5" t="s">
        <v>1729</v>
      </c>
      <c r="BW40" s="5" t="s">
        <v>1729</v>
      </c>
      <c r="BX40" s="5"/>
      <c r="BY40" s="5" t="s">
        <v>2088</v>
      </c>
      <c r="BZ40" s="5" t="s">
        <v>2089</v>
      </c>
      <c r="CA40" s="5" t="s">
        <v>1732</v>
      </c>
      <c r="CB40" s="5"/>
      <c r="CC40" s="5"/>
      <c r="CD40" s="5"/>
      <c r="CE40" s="5"/>
      <c r="CF40" s="5"/>
      <c r="CG40" s="5"/>
      <c r="CH40" s="5" t="s">
        <v>161</v>
      </c>
      <c r="CI40" s="5" t="s">
        <v>162</v>
      </c>
      <c r="CJ40" s="5" t="s">
        <v>292</v>
      </c>
      <c r="CK40" s="5" t="s">
        <v>479</v>
      </c>
      <c r="CL40" s="5" t="s">
        <v>479</v>
      </c>
      <c r="CM40" s="5" t="s">
        <v>166</v>
      </c>
      <c r="CN40" s="5"/>
      <c r="CO40" s="5" t="s">
        <v>1732</v>
      </c>
      <c r="CP40" s="5" t="s">
        <v>1734</v>
      </c>
      <c r="CQ40" s="5" t="s">
        <v>1735</v>
      </c>
      <c r="CR40" s="5" t="s">
        <v>170</v>
      </c>
      <c r="CS40" s="5" t="s">
        <v>171</v>
      </c>
      <c r="CT40" s="5" t="s">
        <v>172</v>
      </c>
      <c r="CU40" s="5" t="s">
        <v>173</v>
      </c>
    </row>
    <row r="41" spans="1:99" s="4" customFormat="1" ht="11.25">
      <c r="A41" s="35" t="s">
        <v>1737</v>
      </c>
      <c r="B41" s="5" t="s">
        <v>135</v>
      </c>
      <c r="C41" s="5" t="s">
        <v>1944</v>
      </c>
      <c r="D41" s="5" t="s">
        <v>1944</v>
      </c>
      <c r="E41" s="5" t="s">
        <v>136</v>
      </c>
      <c r="F41" s="5" t="s">
        <v>1738</v>
      </c>
      <c r="G41" s="5" t="s">
        <v>138</v>
      </c>
      <c r="H41" s="5" t="s">
        <v>139</v>
      </c>
      <c r="I41" s="5" t="s">
        <v>136</v>
      </c>
      <c r="J41" s="5" t="s">
        <v>1944</v>
      </c>
      <c r="K41" s="6">
        <v>45857.8375115741</v>
      </c>
      <c r="L41" s="5"/>
      <c r="M41" s="6"/>
      <c r="N41" s="5" t="s">
        <v>1945</v>
      </c>
      <c r="O41" s="6">
        <v>44970.533506944397</v>
      </c>
      <c r="P41" s="6">
        <v>45864.422812500001</v>
      </c>
      <c r="Q41" s="7">
        <v>4</v>
      </c>
      <c r="R41" s="5" t="s">
        <v>140</v>
      </c>
      <c r="S41" s="7">
        <v>12288</v>
      </c>
      <c r="T41" s="7">
        <v>737</v>
      </c>
      <c r="U41" s="7">
        <v>3</v>
      </c>
      <c r="V41" s="7">
        <v>3</v>
      </c>
      <c r="W41" s="7">
        <v>327680</v>
      </c>
      <c r="X41" s="5"/>
      <c r="Y41" s="7" t="s">
        <v>177</v>
      </c>
      <c r="Z41" s="5" t="s">
        <v>142</v>
      </c>
      <c r="AA41" s="7"/>
      <c r="AB41" s="5" t="s">
        <v>1946</v>
      </c>
      <c r="AC41" s="5" t="s">
        <v>1946</v>
      </c>
      <c r="AD41" s="5" t="s">
        <v>1739</v>
      </c>
      <c r="AE41" s="5" t="s">
        <v>1692</v>
      </c>
      <c r="AF41" s="5" t="s">
        <v>145</v>
      </c>
      <c r="AG41" s="5" t="s">
        <v>146</v>
      </c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2059</v>
      </c>
      <c r="AP41" s="5" t="s">
        <v>317</v>
      </c>
      <c r="AQ41" s="5" t="s">
        <v>318</v>
      </c>
      <c r="AR41" s="5"/>
      <c r="AS41" s="5" t="s">
        <v>1950</v>
      </c>
      <c r="AT41" s="5" t="s">
        <v>150</v>
      </c>
      <c r="AU41" s="7"/>
      <c r="AV41" s="5" t="s">
        <v>151</v>
      </c>
      <c r="AW41" s="7">
        <v>-1</v>
      </c>
      <c r="AX41" s="7">
        <v>-1</v>
      </c>
      <c r="AY41" s="5"/>
      <c r="AZ41" s="7">
        <v>340125</v>
      </c>
      <c r="BA41" s="7">
        <v>340125</v>
      </c>
      <c r="BB41" s="7">
        <v>327680</v>
      </c>
      <c r="BC41" s="5" t="s">
        <v>152</v>
      </c>
      <c r="BD41" s="5" t="s">
        <v>153</v>
      </c>
      <c r="BE41" s="5" t="s">
        <v>154</v>
      </c>
      <c r="BF41" s="5"/>
      <c r="BG41" s="5"/>
      <c r="BH41" s="5" t="s">
        <v>1944</v>
      </c>
      <c r="BI41" s="7">
        <v>0</v>
      </c>
      <c r="BJ41" s="7">
        <v>10000</v>
      </c>
      <c r="BK41" s="5" t="s">
        <v>1944</v>
      </c>
      <c r="BL41" s="5" t="s">
        <v>1944</v>
      </c>
      <c r="BM41" s="5"/>
      <c r="BN41" s="5" t="s">
        <v>1950</v>
      </c>
      <c r="BO41" s="5" t="s">
        <v>236</v>
      </c>
      <c r="BP41" s="7">
        <v>19</v>
      </c>
      <c r="BQ41" s="5" t="s">
        <v>153</v>
      </c>
      <c r="BR41" s="5" t="s">
        <v>156</v>
      </c>
      <c r="BS41" s="5"/>
      <c r="BT41" s="5" t="s">
        <v>1740</v>
      </c>
      <c r="BU41" s="5" t="s">
        <v>1741</v>
      </c>
      <c r="BV41" s="5" t="s">
        <v>1741</v>
      </c>
      <c r="BW41" s="5" t="s">
        <v>1741</v>
      </c>
      <c r="BX41" s="5" t="s">
        <v>239</v>
      </c>
      <c r="BY41" s="5" t="s">
        <v>2090</v>
      </c>
      <c r="BZ41" s="5" t="s">
        <v>2091</v>
      </c>
      <c r="CA41" s="5" t="s">
        <v>1744</v>
      </c>
      <c r="CB41" s="5"/>
      <c r="CC41" s="5"/>
      <c r="CD41" s="5" t="s">
        <v>1697</v>
      </c>
      <c r="CE41" s="5"/>
      <c r="CF41" s="5"/>
      <c r="CG41" s="5"/>
      <c r="CH41" s="5" t="s">
        <v>161</v>
      </c>
      <c r="CI41" s="5" t="s">
        <v>162</v>
      </c>
      <c r="CJ41" s="5" t="s">
        <v>304</v>
      </c>
      <c r="CK41" s="5" t="s">
        <v>213</v>
      </c>
      <c r="CL41" s="5" t="s">
        <v>213</v>
      </c>
      <c r="CM41" s="5" t="s">
        <v>166</v>
      </c>
      <c r="CN41" s="5"/>
      <c r="CO41" s="5" t="s">
        <v>1744</v>
      </c>
      <c r="CP41" s="5" t="s">
        <v>1745</v>
      </c>
      <c r="CQ41" s="5" t="s">
        <v>1746</v>
      </c>
      <c r="CR41" s="5" t="s">
        <v>170</v>
      </c>
      <c r="CS41" s="5" t="s">
        <v>171</v>
      </c>
      <c r="CT41" s="5" t="s">
        <v>172</v>
      </c>
      <c r="CU41" s="5" t="s">
        <v>173</v>
      </c>
    </row>
    <row r="42" spans="1:99">
      <c r="W42" s="11">
        <f>SUM(W26:W41)</f>
        <v>14202239</v>
      </c>
    </row>
    <row r="45" spans="1:99">
      <c r="W45" s="11">
        <f>W42+W22</f>
        <v>23360895</v>
      </c>
    </row>
    <row r="46" spans="1:99">
      <c r="W46">
        <f>W45/1024</f>
        <v>22813.3740234375</v>
      </c>
    </row>
    <row r="47" spans="1:99">
      <c r="W47" s="9">
        <f>W46/1024</f>
        <v>22.278685569763184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1" sqref="J11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4F86F-5C6C-498F-A2E8-7A95418D2D87}"/>
</file>

<file path=customXml/itemProps2.xml><?xml version="1.0" encoding="utf-8"?>
<ds:datastoreItem xmlns:ds="http://schemas.openxmlformats.org/officeDocument/2006/customXml" ds:itemID="{C8235F9D-88E7-4D47-AB72-C0A405FD2183}"/>
</file>

<file path=customXml/itemProps3.xml><?xml version="1.0" encoding="utf-8"?>
<ds:datastoreItem xmlns:ds="http://schemas.openxmlformats.org/officeDocument/2006/customXml" ds:itemID="{B4B5574D-F8C4-443B-A726-6E2CBC695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Henao Cortes Anny Sofia</cp:lastModifiedBy>
  <cp:revision/>
  <dcterms:created xsi:type="dcterms:W3CDTF">2025-03-13T17:10:31Z</dcterms:created>
  <dcterms:modified xsi:type="dcterms:W3CDTF">2025-09-16T19:43:43Z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